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Users\Dob123\Documents\ETCHED ACTUARIAL\2 - TECHNICAL SKILLS\PRACTICE PROJECTS IN EXCEL\PROJECT 6\"/>
    </mc:Choice>
  </mc:AlternateContent>
  <bookViews>
    <workbookView xWindow="0" yWindow="0" windowWidth="18870" windowHeight="6540" activeTab="2"/>
  </bookViews>
  <sheets>
    <sheet name="Assumptions" sheetId="3" r:id="rId1"/>
    <sheet name="Income Statement Projection" sheetId="1" r:id="rId2"/>
    <sheet name="Forecasting_Data" sheetId="4" r:id="rId3"/>
    <sheet name="Scenarios" sheetId="2" r:id="rId4"/>
  </sheets>
  <externalReferences>
    <externalReference r:id="rId5"/>
  </externalReferences>
  <definedNames>
    <definedName name="calc_lookup">'[1]Scenario Testing'!$C$7:$E$12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D7" i="1" s="1"/>
  <c r="E7" i="1" s="1"/>
  <c r="F7" i="1" s="1"/>
  <c r="G7" i="1" s="1"/>
  <c r="F10" i="3"/>
  <c r="D8" i="1" s="1"/>
  <c r="E8" i="1" s="1"/>
  <c r="F8" i="1" s="1"/>
  <c r="G8" i="1" s="1"/>
  <c r="F11" i="3"/>
  <c r="D9" i="1" s="1"/>
  <c r="E9" i="1" s="1"/>
  <c r="F9" i="1" s="1"/>
  <c r="G9" i="1" s="1"/>
  <c r="F14" i="3" l="1"/>
  <c r="D12" i="1" s="1"/>
  <c r="E12" i="1" s="1"/>
  <c r="F12" i="1" s="1"/>
  <c r="G12" i="1" s="1"/>
  <c r="F8" i="3"/>
  <c r="D5" i="1" s="1"/>
  <c r="E5" i="1" s="1"/>
  <c r="F5" i="1" s="1"/>
  <c r="G5" i="1" s="1"/>
  <c r="F7" i="3"/>
  <c r="D4" i="1" s="1"/>
  <c r="E4" i="1" s="1"/>
  <c r="F4" i="1" s="1"/>
  <c r="G4" i="1" s="1"/>
  <c r="F6" i="3"/>
  <c r="D3" i="1" s="1"/>
  <c r="E3" i="1" s="1"/>
  <c r="F3" i="1" s="1"/>
  <c r="G3" i="1" s="1"/>
  <c r="F13" i="3" l="1"/>
  <c r="D11" i="1" s="1"/>
  <c r="E11" i="1" s="1"/>
  <c r="F11" i="1" s="1"/>
  <c r="G11" i="1" s="1"/>
  <c r="F12" i="3"/>
  <c r="D10" i="1" s="1"/>
  <c r="E10" i="1" s="1"/>
  <c r="F10" i="1" s="1"/>
  <c r="G10" i="1" s="1"/>
  <c r="D6" i="1" l="1"/>
  <c r="E13" i="1" l="1"/>
  <c r="D13" i="1"/>
  <c r="D14" i="1" s="1"/>
  <c r="G13" i="1" l="1"/>
  <c r="F13" i="1"/>
  <c r="E6" i="1"/>
  <c r="E14" i="1" s="1"/>
  <c r="F6" i="1" l="1"/>
  <c r="F14" i="1" s="1"/>
  <c r="G6" i="1"/>
  <c r="G14" i="1" s="1"/>
  <c r="B17" i="1" l="1"/>
</calcChain>
</file>

<file path=xl/sharedStrings.xml><?xml version="1.0" encoding="utf-8"?>
<sst xmlns="http://schemas.openxmlformats.org/spreadsheetml/2006/main" count="68" uniqueCount="37">
  <si>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</si>
  <si>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</si>
  <si>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</si>
  <si>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</si>
  <si>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</si>
  <si>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</si>
  <si>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</si>
  <si>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</si>
  <si>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</si>
  <si>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</si>
  <si>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</si>
  <si>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</si>
  <si>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</si>
  <si>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</si>
  <si>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</si>
  <si>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</si>
  <si>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2-4%</t>
  </si>
  <si>
    <t>5-7%</t>
  </si>
  <si>
    <t>Interest</t>
  </si>
  <si>
    <t>Annual Change assumption</t>
  </si>
  <si>
    <t>Gross Premium</t>
  </si>
  <si>
    <t>Premium Ceded to Reinsurers</t>
  </si>
  <si>
    <t>Gross Claim</t>
  </si>
  <si>
    <t xml:space="preserve">Acquisition Costs Amortization </t>
  </si>
  <si>
    <t>Change in Insurance Liabilities</t>
  </si>
  <si>
    <t>Direction of Change</t>
  </si>
  <si>
    <t>Original Rate</t>
  </si>
  <si>
    <t>Final Rate</t>
  </si>
  <si>
    <t>INTEREST RATE</t>
  </si>
  <si>
    <t>Forecasted Net Income (2021-2025)</t>
  </si>
  <si>
    <t>ASSUMPTION TOOL</t>
  </si>
  <si>
    <t>Scenario #</t>
  </si>
  <si>
    <t>INT=0.02</t>
  </si>
  <si>
    <t>INT=0.04</t>
  </si>
  <si>
    <t>INT=0.06</t>
  </si>
  <si>
    <t>INT=0.08</t>
  </si>
  <si>
    <t>Increase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</si>
</sst>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$&quot;#,##0.00_);\(&quot;$&quot;#,##0.00\)"/>
    <numFmt numFmtId="164" formatCode="_-* #,##0.00_-;\-* #,##0.00_-;_-* &quot;-&quot;??_-;_-@_-"/>
    <numFmt numFmtId="165" formatCode="_-* #,##0_-;\-* #,##0_-;_-* &quot;-&quot;??_-;_-@_-"/>
    <numFmt numFmtId="166" formatCode="0.000%"/>
    <numFmt numFmtId="167" formatCode="&quot;$&quot;#,##0.00"/>
    <numFmt numFmtId="168" formatCode="&quot;$&quot;#,##0"/>
    <numFmt numFmtId="169" formatCode="0.0000000%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54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2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2" fillId="0" borderId="9" xfId="0" applyFont="1" applyBorder="1"/>
    <xf numFmtId="165" fontId="0" fillId="0" borderId="0" xfId="0" applyNumberFormat="1"/>
    <xf numFmtId="168" fontId="0" fillId="0" borderId="2" xfId="1" applyNumberFormat="1" applyFont="1" applyBorder="1"/>
    <xf numFmtId="168" fontId="5" fillId="0" borderId="4" xfId="1" applyNumberFormat="1" applyFont="1" applyBorder="1"/>
    <xf numFmtId="168" fontId="0" fillId="0" borderId="5" xfId="1" applyNumberFormat="1" applyFont="1" applyFill="1" applyBorder="1"/>
    <xf numFmtId="168" fontId="2" fillId="0" borderId="16" xfId="1" applyNumberFormat="1" applyFont="1" applyBorder="1"/>
    <xf numFmtId="168" fontId="0" fillId="0" borderId="10" xfId="1" applyNumberFormat="1" applyFont="1" applyFill="1" applyBorder="1"/>
    <xf numFmtId="168" fontId="0" fillId="0" borderId="11" xfId="1" applyNumberFormat="1" applyFont="1" applyBorder="1"/>
    <xf numFmtId="168" fontId="0" fillId="0" borderId="12" xfId="1" applyNumberFormat="1" applyFont="1" applyFill="1" applyBorder="1"/>
    <xf numFmtId="168" fontId="5" fillId="0" borderId="12" xfId="1" applyNumberFormat="1" applyFont="1" applyBorder="1"/>
    <xf numFmtId="168" fontId="0" fillId="0" borderId="12" xfId="1" applyNumberFormat="1" applyFont="1" applyBorder="1"/>
    <xf numFmtId="168" fontId="0" fillId="0" borderId="13" xfId="1" applyNumberFormat="1" applyFont="1" applyFill="1" applyBorder="1"/>
    <xf numFmtId="168" fontId="2" fillId="0" borderId="14" xfId="1" applyNumberFormat="1" applyFont="1" applyBorder="1"/>
    <xf numFmtId="0" fontId="2" fillId="2" borderId="8" xfId="0" applyFont="1" applyFill="1" applyBorder="1"/>
    <xf numFmtId="167" fontId="0" fillId="0" borderId="8" xfId="0" applyNumberFormat="1" applyBorder="1"/>
    <xf numFmtId="0" fontId="0" fillId="0" borderId="8" xfId="0" applyBorder="1"/>
    <xf numFmtId="10" fontId="0" fillId="0" borderId="8" xfId="0" applyNumberFormat="1" applyBorder="1"/>
    <xf numFmtId="9" fontId="0" fillId="0" borderId="8" xfId="0" applyNumberFormat="1" applyBorder="1"/>
    <xf numFmtId="9" fontId="0" fillId="0" borderId="8" xfId="0" applyNumberFormat="1" applyFill="1" applyBorder="1"/>
    <xf numFmtId="0" fontId="2" fillId="3" borderId="8" xfId="0" applyFont="1" applyFill="1" applyBorder="1"/>
    <xf numFmtId="166" fontId="0" fillId="0" borderId="8" xfId="0" applyNumberFormat="1" applyBorder="1"/>
    <xf numFmtId="16" fontId="0" fillId="0" borderId="8" xfId="0" applyNumberFormat="1" applyBorder="1"/>
    <xf numFmtId="0" fontId="2" fillId="4" borderId="8" xfId="0" applyFont="1" applyFill="1" applyBorder="1"/>
    <xf numFmtId="0" fontId="2" fillId="4" borderId="17" xfId="0" applyFont="1" applyFill="1" applyBorder="1"/>
    <xf numFmtId="168" fontId="2" fillId="4" borderId="15" xfId="1" applyNumberFormat="1" applyFont="1" applyFill="1" applyBorder="1"/>
    <xf numFmtId="168" fontId="2" fillId="0" borderId="21" xfId="1" applyNumberFormat="1" applyFont="1" applyBorder="1"/>
    <xf numFmtId="168" fontId="2" fillId="0" borderId="22" xfId="1" applyNumberFormat="1" applyFont="1" applyBorder="1"/>
    <xf numFmtId="168" fontId="2" fillId="4" borderId="23" xfId="1" applyNumberFormat="1" applyFont="1" applyFill="1" applyBorder="1"/>
    <xf numFmtId="169" fontId="0" fillId="0" borderId="8" xfId="0" applyNumberFormat="1" applyBorder="1"/>
    <xf numFmtId="169" fontId="0" fillId="0" borderId="0" xfId="0" applyNumberFormat="1"/>
    <xf numFmtId="7" fontId="0" fillId="0" borderId="0" xfId="0" applyNumberFormat="1"/>
    <xf numFmtId="0" fontId="8" fillId="2" borderId="8" xfId="0" applyFont="1" applyFill="1" applyBorder="1" applyAlignment="1">
      <alignment wrapText="1"/>
    </xf>
    <xf numFmtId="0" fontId="8" fillId="0" borderId="8" xfId="0" applyFont="1" applyBorder="1"/>
    <xf numFmtId="0" fontId="1" fillId="0" borderId="8" xfId="0" applyFont="1" applyBorder="1"/>
    <xf numFmtId="7" fontId="0" fillId="0" borderId="8" xfId="0" applyNumberFormat="1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0</xdr:row>
      <xdr:rowOff>209550</xdr:rowOff>
    </xdr:from>
    <xdr:to>
      <xdr:col>16</xdr:col>
      <xdr:colOff>133350</xdr:colOff>
      <xdr:row>1</xdr:row>
      <xdr:rowOff>171450</xdr:rowOff>
    </xdr:to>
    <xdr:sp macro="[0]!forecast_net_income" textlink="">
      <xdr:nvSpPr>
        <xdr:cNvPr id="2" name="Oval 1"/>
        <xdr:cNvSpPr/>
      </xdr:nvSpPr>
      <xdr:spPr>
        <a:xfrm>
          <a:off x="10610850" y="209550"/>
          <a:ext cx="1238250" cy="1104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  <a:r>
            <a:rPr lang="en-US" sz="1100" b="1" baseline="0"/>
            <a:t> Forecasted Net Income</a:t>
          </a:r>
          <a:endParaRPr lang="en-US" sz="1100" b="1"/>
        </a:p>
      </xdr:txBody>
    </xdr:sp>
    <xdr:clientData/>
  </xdr:twoCellAnchor>
  <xdr:twoCellAnchor>
    <xdr:from>
      <xdr:col>14</xdr:col>
      <xdr:colOff>257175</xdr:colOff>
      <xdr:row>2</xdr:row>
      <xdr:rowOff>114300</xdr:rowOff>
    </xdr:from>
    <xdr:to>
      <xdr:col>16</xdr:col>
      <xdr:colOff>123825</xdr:colOff>
      <xdr:row>6</xdr:row>
      <xdr:rowOff>38100</xdr:rowOff>
    </xdr:to>
    <xdr:sp macro="[0]!ClearValues" textlink="">
      <xdr:nvSpPr>
        <xdr:cNvPr id="3" name="Oval 2"/>
        <xdr:cNvSpPr/>
      </xdr:nvSpPr>
      <xdr:spPr>
        <a:xfrm>
          <a:off x="10601325" y="1457325"/>
          <a:ext cx="1238250" cy="723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Clear</a:t>
          </a:r>
          <a:r>
            <a:rPr lang="en-US" sz="1100" b="1" baseline="0"/>
            <a:t> All Values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ean\Downloads\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G20"/>
  <sheetViews>
    <sheetView topLeftCell="B3" workbookViewId="0">
      <selection activeCell="D6" sqref="D6:D14"/>
    </sheetView>
  </sheetViews>
  <sheetFormatPr defaultRowHeight="15.75" x14ac:dyDescent="0.25"/>
  <cols>
    <col min="3" max="3" width="36.375" bestFit="1" customWidth="1"/>
    <col min="4" max="4" width="18" bestFit="1" customWidth="1"/>
    <col min="5" max="5" width="12" bestFit="1" customWidth="1"/>
    <col min="6" max="6" width="11.375" bestFit="1" customWidth="1"/>
    <col min="7" max="7" width="10.75" bestFit="1" customWidth="1"/>
  </cols>
  <sheetData>
    <row r="1" spans="3:7" x14ac:dyDescent="0.25">
      <c r="C1" s="43" t="s">
        <v>30</v>
      </c>
      <c r="D1" s="44"/>
      <c r="E1" s="44"/>
      <c r="F1" s="44"/>
    </row>
    <row r="2" spans="3:7" x14ac:dyDescent="0.25">
      <c r="C2" s="44"/>
      <c r="D2" s="44"/>
      <c r="E2" s="44"/>
      <c r="F2" s="44"/>
    </row>
    <row r="3" spans="3:7" x14ac:dyDescent="0.25">
      <c r="C3" s="44"/>
      <c r="D3" s="44"/>
      <c r="E3" s="44"/>
      <c r="F3" s="44"/>
    </row>
    <row r="5" spans="3:7" x14ac:dyDescent="0.25">
      <c r="D5" s="21" t="s">
        <v>25</v>
      </c>
      <c r="E5" s="21" t="s">
        <v>26</v>
      </c>
      <c r="F5" s="21" t="s">
        <v>27</v>
      </c>
    </row>
    <row r="6" spans="3:7" x14ac:dyDescent="0.25">
      <c r="C6" s="27" t="s">
        <v>20</v>
      </c>
      <c r="D6" s="23" t="s">
        <v>36</v>
      </c>
      <c r="E6" s="24">
        <v>-0.01</v>
      </c>
      <c r="F6" s="36">
        <f>E6</f>
        <v>-0.01</v>
      </c>
    </row>
    <row r="7" spans="3:7" x14ac:dyDescent="0.25">
      <c r="C7" s="27" t="s">
        <v>21</v>
      </c>
      <c r="D7" s="23" t="s">
        <v>36</v>
      </c>
      <c r="E7" s="25">
        <v>-0.01</v>
      </c>
      <c r="F7" s="36">
        <f>E7</f>
        <v>-0.01</v>
      </c>
    </row>
    <row r="8" spans="3:7" x14ac:dyDescent="0.25">
      <c r="C8" s="27" t="s">
        <v>4</v>
      </c>
      <c r="D8" s="23" t="s">
        <v>36</v>
      </c>
      <c r="E8" s="24">
        <v>0.02</v>
      </c>
      <c r="F8" s="36">
        <f>IF(AND($C$20&gt;=2%,$C$20&lt;=4%),E8*(1+Scenarios!$D$5),IF(AND($C$20&gt;=5%,$C$20&lt;=7%),Assumptions!E8*(1+Scenarios!$D$6),E8))</f>
        <v>0.02</v>
      </c>
    </row>
    <row r="9" spans="3:7" x14ac:dyDescent="0.25">
      <c r="C9" s="27" t="s">
        <v>22</v>
      </c>
      <c r="D9" s="23" t="s">
        <v>36</v>
      </c>
      <c r="E9" s="25">
        <v>0.02</v>
      </c>
      <c r="F9" s="36">
        <f>IF(AND($C$20&gt;=2%,$C$20&lt;=4%),$E$9*(1+Scenarios!D7),IF(AND($C$20&gt;=5%,$C$20&lt;=7%),Assumptions!E9*(1+Scenarios!D10),E9))</f>
        <v>0.02</v>
      </c>
      <c r="G9" s="37"/>
    </row>
    <row r="10" spans="3:7" x14ac:dyDescent="0.25">
      <c r="C10" s="27" t="s">
        <v>8</v>
      </c>
      <c r="D10" s="23" t="s">
        <v>36</v>
      </c>
      <c r="E10" s="25">
        <v>-0.02</v>
      </c>
      <c r="F10" s="36">
        <f>E10</f>
        <v>-0.02</v>
      </c>
    </row>
    <row r="11" spans="3:7" x14ac:dyDescent="0.25">
      <c r="C11" s="27" t="s">
        <v>9</v>
      </c>
      <c r="D11" s="23" t="s">
        <v>36</v>
      </c>
      <c r="E11" s="24">
        <v>0.02</v>
      </c>
      <c r="F11" s="36">
        <f>IF(AND($C$20&gt;=2%,$C$20&lt;=4%),$E$11*(1+Scenarios!D9),$E$11)</f>
        <v>0.02</v>
      </c>
    </row>
    <row r="12" spans="3:7" x14ac:dyDescent="0.25">
      <c r="C12" s="27" t="s">
        <v>10</v>
      </c>
      <c r="D12" s="23" t="s">
        <v>36</v>
      </c>
      <c r="E12" s="24">
        <v>0.02</v>
      </c>
      <c r="F12" s="36">
        <f>E12</f>
        <v>0.02</v>
      </c>
    </row>
    <row r="13" spans="3:7" x14ac:dyDescent="0.25">
      <c r="C13" s="27" t="s">
        <v>23</v>
      </c>
      <c r="D13" s="23" t="s">
        <v>36</v>
      </c>
      <c r="E13" s="25">
        <v>-0.03</v>
      </c>
      <c r="F13" s="36">
        <f>E13</f>
        <v>-0.03</v>
      </c>
    </row>
    <row r="14" spans="3:7" x14ac:dyDescent="0.25">
      <c r="C14" s="27" t="s">
        <v>24</v>
      </c>
      <c r="D14" s="23" t="s">
        <v>36</v>
      </c>
      <c r="E14" s="24">
        <v>0.06</v>
      </c>
      <c r="F14" s="36">
        <f>IF(AND($C$20&gt;=2%,$C$20&lt;=4%),E14*(1+Scenarios!D8),E14)</f>
        <v>0.06</v>
      </c>
    </row>
    <row r="19" spans="3:3" x14ac:dyDescent="0.25">
      <c r="C19" s="21" t="s">
        <v>28</v>
      </c>
    </row>
    <row r="20" spans="3:3" x14ac:dyDescent="0.25">
      <c r="C20" s="26">
        <v>0.08</v>
      </c>
    </row>
  </sheetData>
  <mergeCells count="1">
    <mergeCell ref="C1:F3"/>
  </mergeCells>
  <dataValidations count="1">
    <dataValidation type="list" allowBlank="1" showInputMessage="1" showErrorMessage="1" sqref="D6:D14">
      <formula1>"Increase, Decrease, No Change"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7"/>
  <sheetViews>
    <sheetView workbookViewId="0">
      <selection activeCell="D9" sqref="D9"/>
    </sheetView>
  </sheetViews>
  <sheetFormatPr defaultColWidth="11" defaultRowHeight="15.75" x14ac:dyDescent="0.25"/>
  <cols>
    <col min="1" max="1" width="10.75" bestFit="1" customWidth="1"/>
    <col min="2" max="2" width="35.625" bestFit="1" customWidth="1"/>
    <col min="3" max="7" width="11.625" bestFit="1" customWidth="1"/>
  </cols>
  <sheetData>
    <row r="1" spans="1:8" x14ac:dyDescent="0.25">
      <c r="A1" s="48" t="s">
        <v>0</v>
      </c>
      <c r="B1" s="49"/>
      <c r="C1" s="52"/>
      <c r="D1" s="52"/>
      <c r="E1" s="52"/>
      <c r="F1" s="52"/>
      <c r="G1" s="53"/>
    </row>
    <row r="2" spans="1:8" x14ac:dyDescent="0.25">
      <c r="A2" s="50"/>
      <c r="B2" s="51"/>
      <c r="C2" s="30">
        <v>2021</v>
      </c>
      <c r="D2" s="30">
        <v>2022</v>
      </c>
      <c r="E2" s="30">
        <v>2023</v>
      </c>
      <c r="F2" s="30">
        <v>2024</v>
      </c>
      <c r="G2" s="30">
        <v>2025</v>
      </c>
    </row>
    <row r="3" spans="1:8" x14ac:dyDescent="0.25">
      <c r="A3" s="45" t="s">
        <v>1</v>
      </c>
      <c r="B3" s="1" t="s">
        <v>2</v>
      </c>
      <c r="C3" s="10">
        <v>45677</v>
      </c>
      <c r="D3" s="10">
        <f>IF(Assumptions!$D$6="Increase",C3*(1+Assumptions!$F$6),IF(Assumptions!$D$6="Decrease",C3*(1-Assumptions!$F$6),IF(Assumptions!$D$6="No Change",C3,"")))</f>
        <v>45220.23</v>
      </c>
      <c r="E3" s="10">
        <f>IF(Assumptions!$D$6="Increase",D3*(1+Assumptions!$F$6),IF(Assumptions!$D$6="Decrease",D3*(1-Assumptions!$F$6),IF(Assumptions!$D$6="No Change",D3,"")))</f>
        <v>44768.027700000006</v>
      </c>
      <c r="F3" s="10">
        <f>IF(Assumptions!$D$6="Increase",E3*(1+Assumptions!$F$6),IF(Assumptions!$D$6="Decrease",E3*(1-Assumptions!$F$6),IF(Assumptions!$D$6="No Change",E3,"")))</f>
        <v>44320.347423000007</v>
      </c>
      <c r="G3" s="10">
        <f>IF(Assumptions!$D$6="Increase",F3*(1+Assumptions!$F$6),IF(Assumptions!$D$6="Decrease",F3*(1-Assumptions!$F$6),IF(Assumptions!$D$6="No Change",F3,"")))</f>
        <v>43877.143948770004</v>
      </c>
      <c r="H3" s="9"/>
    </row>
    <row r="4" spans="1:8" x14ac:dyDescent="0.25">
      <c r="A4" s="46"/>
      <c r="B4" s="2" t="s">
        <v>3</v>
      </c>
      <c r="C4" s="11">
        <v>-65007</v>
      </c>
      <c r="D4" s="11">
        <f>IF(Assumptions!$D$7="Increase",C4*(1+Assumptions!$F$7),IF(Assumptions!$D$7="Decrease",C4*(1-Assumptions!$F$7),IF(Assumptions!$D$7="No Change",C4,"")))</f>
        <v>-64356.93</v>
      </c>
      <c r="E4" s="11">
        <f>IF(Assumptions!$D$7="Increase",D4*(1+Assumptions!$F$7),IF(Assumptions!$D$7="Decrease",D4*(1-Assumptions!$F$7),IF(Assumptions!$D$7="No Change",D4,"")))</f>
        <v>-63713.360699999997</v>
      </c>
      <c r="F4" s="11">
        <f>IF(Assumptions!$D$7="Increase",E4*(1+Assumptions!$F$7),IF(Assumptions!$D$7="Decrease",E4*(1-Assumptions!$F$7),IF(Assumptions!$D$7="No Change",E4,"")))</f>
        <v>-63076.227092999994</v>
      </c>
      <c r="G4" s="11">
        <f>IF(Assumptions!$D$7="Increase",F4*(1+Assumptions!$F$7),IF(Assumptions!$D$7="Decrease",F4*(1-Assumptions!$F$7),IF(Assumptions!$D$7="No Change",F4,"")))</f>
        <v>-62445.464822069996</v>
      </c>
    </row>
    <row r="5" spans="1:8" ht="16.5" thickBot="1" x14ac:dyDescent="0.3">
      <c r="A5" s="46"/>
      <c r="B5" s="3" t="s">
        <v>4</v>
      </c>
      <c r="C5" s="12">
        <v>567485</v>
      </c>
      <c r="D5" s="12">
        <f>IF(Assumptions!$D$8="Increase",C5*(1+Assumptions!$F$8),IF(Assumptions!$D$8="Decrease",C5*(1-Assumptions!$F$8),IF(Assumptions!$D$8="No Change",C5,"")))</f>
        <v>578834.69999999995</v>
      </c>
      <c r="E5" s="12">
        <f>IF(Assumptions!$D$8="Increase",D5*(1+Assumptions!$F$8),IF(Assumptions!$D$8="Decrease",D5*(1-Assumptions!$F$8),IF(Assumptions!$D$8="No Change",D5,"")))</f>
        <v>590411.39399999997</v>
      </c>
      <c r="F5" s="12">
        <f>IF(Assumptions!$D$8="Increase",E5*(1+Assumptions!$F$8),IF(Assumptions!$D$8="Decrease",E5*(1-Assumptions!$F$8),IF(Assumptions!$D$8="No Change",E5,"")))</f>
        <v>602219.62187999999</v>
      </c>
      <c r="G5" s="12">
        <f>IF(Assumptions!$D$8="Increase",F5*(1+Assumptions!$F$8),IF(Assumptions!$D$8="Decrease",F5*(1-Assumptions!$F$8),IF(Assumptions!$D$8="No Change",F5,"")))</f>
        <v>614264.01431760006</v>
      </c>
    </row>
    <row r="6" spans="1:8" ht="16.5" thickTop="1" x14ac:dyDescent="0.25">
      <c r="A6" s="47"/>
      <c r="B6" s="4" t="s">
        <v>5</v>
      </c>
      <c r="C6" s="13">
        <v>548155</v>
      </c>
      <c r="D6" s="13">
        <f>SUM(D3:D5)</f>
        <v>559698</v>
      </c>
      <c r="E6" s="13">
        <f>SUM(E3:E5)</f>
        <v>571466.06099999999</v>
      </c>
      <c r="F6" s="13">
        <f>SUM(F3:F5)</f>
        <v>583463.74221000005</v>
      </c>
      <c r="G6" s="33">
        <f t="shared" ref="G6" si="0">SUM(G3:G5)</f>
        <v>595695.69344430009</v>
      </c>
    </row>
    <row r="7" spans="1:8" x14ac:dyDescent="0.25">
      <c r="A7" s="45" t="s">
        <v>6</v>
      </c>
      <c r="B7" s="5" t="s">
        <v>7</v>
      </c>
      <c r="C7" s="14">
        <v>65583</v>
      </c>
      <c r="D7" s="14">
        <f>IF(Assumptions!$D$9="Increase",C7*(1+Assumptions!$F$9),IF(Assumptions!$D$9="Decrease",C7*(1-Assumptions!$F$9),IF(Assumptions!$D$9="No Change",C7,"")))</f>
        <v>66894.66</v>
      </c>
      <c r="E7" s="14">
        <f>IF(Assumptions!$D$9="Increase",D7*(1+Assumptions!$F$9),IF(Assumptions!$D$9="Decrease",D7*(1-Assumptions!$F$9),IF(Assumptions!$D$9="No Change",D7,"")))</f>
        <v>68232.553200000009</v>
      </c>
      <c r="F7" s="14">
        <f>IF(Assumptions!$D$9="Increase",E7*(1+Assumptions!$F$9),IF(Assumptions!$D$9="Decrease",E7*(1-Assumptions!$F$9),IF(Assumptions!$D$9="No Change",E7,"")))</f>
        <v>69597.204264000015</v>
      </c>
      <c r="G7" s="14">
        <f>IF(Assumptions!$D$9="Increase",F7*(1+Assumptions!$F$9),IF(Assumptions!$D$9="Decrease",F7*(1-Assumptions!$F$9),IF(Assumptions!$D$9="No Change",F7,"")))</f>
        <v>70989.148349280018</v>
      </c>
    </row>
    <row r="8" spans="1:8" x14ac:dyDescent="0.25">
      <c r="A8" s="46"/>
      <c r="B8" s="6" t="s">
        <v>8</v>
      </c>
      <c r="C8" s="15">
        <v>55478</v>
      </c>
      <c r="D8" s="15">
        <f>IF(Assumptions!$D$10="Increase",C8*(1+Assumptions!$F$10),IF(Assumptions!$D$10="Decrease",C8*(1-Assumptions!$F$10),IF(Assumptions!$D$10="No Change",C8,"")))</f>
        <v>54368.44</v>
      </c>
      <c r="E8" s="15">
        <f>IF(Assumptions!$D$10="Increase",D8*(1+Assumptions!$F$10),IF(Assumptions!$D$10="Decrease",D8*(1-Assumptions!$F$10),IF(Assumptions!$D$10="No Change",D8,"")))</f>
        <v>53281.071199999998</v>
      </c>
      <c r="F8" s="15">
        <f>IF(Assumptions!$D$10="Increase",E8*(1+Assumptions!$F$10),IF(Assumptions!$D$10="Decrease",E8*(1-Assumptions!$F$10),IF(Assumptions!$D$10="No Change",E8,"")))</f>
        <v>52215.449775999994</v>
      </c>
      <c r="G8" s="15">
        <f>IF(Assumptions!$D$10="Increase",F8*(1+Assumptions!$F$10),IF(Assumptions!$D$10="Decrease",F8*(1-Assumptions!$F$10),IF(Assumptions!$D$10="No Change",F8,"")))</f>
        <v>51171.140780479996</v>
      </c>
    </row>
    <row r="9" spans="1:8" x14ac:dyDescent="0.25">
      <c r="A9" s="46"/>
      <c r="B9" s="6" t="s">
        <v>9</v>
      </c>
      <c r="C9" s="16">
        <v>78965</v>
      </c>
      <c r="D9" s="16">
        <f>IF(Assumptions!$D$11="Increase",C9*(1+Assumptions!$F$11),IF(Assumptions!$D$11="Decrease",C9*(1-Assumptions!$F$11),IF(Assumptions!$D$11="No Change",C9,"")))</f>
        <v>80544.3</v>
      </c>
      <c r="E9" s="16">
        <f>IF(Assumptions!$D$11="Increase",D9*(1+Assumptions!$F$11),IF(Assumptions!$D$11="Decrease",D9*(1-Assumptions!$F$11),IF(Assumptions!$D$11="No Change",D9,"")))</f>
        <v>82155.186000000002</v>
      </c>
      <c r="F9" s="16">
        <f>IF(Assumptions!$D$11="Increase",E9*(1+Assumptions!$F$11),IF(Assumptions!$D$11="Decrease",E9*(1-Assumptions!$F$11),IF(Assumptions!$D$11="No Change",E9,"")))</f>
        <v>83798.289720000001</v>
      </c>
      <c r="G9" s="16">
        <f>IF(Assumptions!$D$11="Increase",F9*(1+Assumptions!$F$11),IF(Assumptions!$D$11="Decrease",F9*(1-Assumptions!$F$11),IF(Assumptions!$D$11="No Change",F9,"")))</f>
        <v>85474.255514400007</v>
      </c>
    </row>
    <row r="10" spans="1:8" x14ac:dyDescent="0.25">
      <c r="A10" s="46"/>
      <c r="B10" s="6" t="s">
        <v>10</v>
      </c>
      <c r="C10" s="17">
        <v>-2456</v>
      </c>
      <c r="D10" s="17">
        <f>IF(Assumptions!$D$12="Increase",C10*(1+Assumptions!$F$12),IF(Assumptions!$D$12="Decrease",C10*(1-Assumptions!$F$12),IF(Assumptions!$D$12="No Change",C10,"")))</f>
        <v>-2505.12</v>
      </c>
      <c r="E10" s="17">
        <f>IF(Assumptions!$D$12="Increase",D10*(1+Assumptions!$F$12),IF(Assumptions!$D$12="Decrease",D10*(1-Assumptions!$F$12),IF(Assumptions!$D$12="No Change",D10,"")))</f>
        <v>-2555.2224000000001</v>
      </c>
      <c r="F10" s="17">
        <f>IF(Assumptions!$D$12="Increase",E10*(1+Assumptions!$F$12),IF(Assumptions!$D$12="Decrease",E10*(1-Assumptions!$F$12),IF(Assumptions!$D$12="No Change",E10,"")))</f>
        <v>-2606.3268480000002</v>
      </c>
      <c r="G10" s="17">
        <f>IF(Assumptions!$D$12="Increase",F10*(1+Assumptions!$F$12),IF(Assumptions!$D$12="Decrease",F10*(1-Assumptions!$F$12),IF(Assumptions!$D$12="No Change",F10,"")))</f>
        <v>-2658.4533849600002</v>
      </c>
    </row>
    <row r="11" spans="1:8" x14ac:dyDescent="0.25">
      <c r="A11" s="46"/>
      <c r="B11" s="6" t="s">
        <v>11</v>
      </c>
      <c r="C11" s="18">
        <v>3456</v>
      </c>
      <c r="D11" s="18">
        <f>IF(Assumptions!$D$13="Increase",C11*(1+Assumptions!$F$13),IF(Assumptions!$D$13="Decrease",C11*(1-Assumptions!$F$13),IF(Assumptions!$D$13="No Change",C11,"")))</f>
        <v>3352.3199999999997</v>
      </c>
      <c r="E11" s="18">
        <f>IF(Assumptions!$D$13="Increase",D11*(1+Assumptions!$F$13),IF(Assumptions!$D$13="Decrease",D11*(1-Assumptions!$F$13),IF(Assumptions!$D$13="No Change",D11,"")))</f>
        <v>3251.7503999999994</v>
      </c>
      <c r="F11" s="18">
        <f>IF(Assumptions!$D$13="Increase",E11*(1+Assumptions!$F$13),IF(Assumptions!$D$13="Decrease",E11*(1-Assumptions!$F$13),IF(Assumptions!$D$13="No Change",E11,"")))</f>
        <v>3154.1978879999992</v>
      </c>
      <c r="G11" s="18">
        <f>IF(Assumptions!$D$13="Increase",F11*(1+Assumptions!$F$13),IF(Assumptions!$D$13="Decrease",F11*(1-Assumptions!$F$13),IF(Assumptions!$D$13="No Change",F11,"")))</f>
        <v>3059.5719513599993</v>
      </c>
    </row>
    <row r="12" spans="1:8" ht="16.5" thickBot="1" x14ac:dyDescent="0.3">
      <c r="A12" s="46"/>
      <c r="B12" s="7" t="s">
        <v>12</v>
      </c>
      <c r="C12" s="19">
        <v>2870</v>
      </c>
      <c r="D12" s="19">
        <f>IF(Assumptions!$D$14="Increase",C12*(1+Assumptions!$F$14),IF(Assumptions!$D$14="Decrease",C12*(1-Assumptions!$F$14),IF(Assumptions!$D$14="No Change",C12,"")))</f>
        <v>3042.2000000000003</v>
      </c>
      <c r="E12" s="19">
        <f>IF(Assumptions!$D$14="Increase",D12*(1+Assumptions!$F$14),IF(Assumptions!$D$14="Decrease",D12*(1-Assumptions!$F$14),IF(Assumptions!$D$14="No Change",D12,"")))</f>
        <v>3224.7320000000004</v>
      </c>
      <c r="F12" s="19">
        <f>IF(Assumptions!$D$14="Increase",E12*(1+Assumptions!$F$14),IF(Assumptions!$D$14="Decrease",E12*(1-Assumptions!$F$14),IF(Assumptions!$D$14="No Change",E12,"")))</f>
        <v>3418.2159200000006</v>
      </c>
      <c r="G12" s="19">
        <f>IF(Assumptions!$D$14="Increase",F12*(1+Assumptions!$F$14),IF(Assumptions!$D$14="Decrease",F12*(1-Assumptions!$F$14),IF(Assumptions!$D$14="No Change",F12,"")))</f>
        <v>3623.3088752000008</v>
      </c>
    </row>
    <row r="13" spans="1:8" ht="17.25" thickTop="1" thickBot="1" x14ac:dyDescent="0.3">
      <c r="A13" s="47"/>
      <c r="B13" s="8" t="s">
        <v>13</v>
      </c>
      <c r="C13" s="20">
        <v>203896</v>
      </c>
      <c r="D13" s="20">
        <f>SUM(D7:D12)</f>
        <v>205696.80000000005</v>
      </c>
      <c r="E13" s="20">
        <f t="shared" ref="E13:G13" si="1">SUM(E7:E12)</f>
        <v>207590.0704</v>
      </c>
      <c r="F13" s="20">
        <f t="shared" si="1"/>
        <v>209577.03071999998</v>
      </c>
      <c r="G13" s="34">
        <f t="shared" si="1"/>
        <v>211658.97208576</v>
      </c>
    </row>
    <row r="14" spans="1:8" ht="16.5" thickTop="1" x14ac:dyDescent="0.25">
      <c r="A14" s="30" t="s">
        <v>14</v>
      </c>
      <c r="B14" s="31" t="s">
        <v>15</v>
      </c>
      <c r="C14" s="32">
        <v>344259</v>
      </c>
      <c r="D14" s="32">
        <f>D$6-D$13</f>
        <v>354001.19999999995</v>
      </c>
      <c r="E14" s="32">
        <f>E$6-E$13</f>
        <v>363875.99060000002</v>
      </c>
      <c r="F14" s="32">
        <f t="shared" ref="F14" si="2">F$6-F$13</f>
        <v>373886.71149000007</v>
      </c>
      <c r="G14" s="35">
        <f>G$6-G$13</f>
        <v>384036.72135854012</v>
      </c>
    </row>
    <row r="16" spans="1:8" x14ac:dyDescent="0.25">
      <c r="B16" s="21" t="s">
        <v>29</v>
      </c>
    </row>
    <row r="17" spans="2:2" x14ac:dyDescent="0.25">
      <c r="B17" s="22">
        <f>SUM(C14:G14)</f>
        <v>1820059.62344854</v>
      </c>
    </row>
  </sheetData>
  <mergeCells count="4">
    <mergeCell ref="A3:A6"/>
    <mergeCell ref="A7:A13"/>
    <mergeCell ref="A1:B2"/>
    <mergeCell ref="C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2"/>
  <sheetViews>
    <sheetView tabSelected="1" workbookViewId="0">
      <selection activeCell="K2" sqref="K2"/>
    </sheetView>
  </sheetViews>
  <sheetFormatPr defaultRowHeight="15.75" x14ac:dyDescent="0.25"/>
  <cols>
    <col min="1" max="2" width="8.75" bestFit="1" customWidth="1"/>
    <col min="3" max="3" width="9.125" bestFit="1" customWidth="1"/>
    <col min="4" max="4" width="8.625" bestFit="1" customWidth="1"/>
    <col min="5" max="5" width="6" bestFit="1" customWidth="1"/>
    <col min="6" max="6" width="7.375" bestFit="1" customWidth="1"/>
    <col min="7" max="7" width="8.75" bestFit="1" customWidth="1"/>
    <col min="8" max="8" width="8.375" bestFit="1" customWidth="1"/>
    <col min="10" max="10" width="8.5" bestFit="1" customWidth="1"/>
    <col min="11" max="14" width="13.125" bestFit="1" customWidth="1"/>
  </cols>
  <sheetData>
    <row r="1" spans="1:14" ht="90" x14ac:dyDescent="0.25">
      <c r="A1" s="39" t="s">
        <v>31</v>
      </c>
      <c r="B1" s="39" t="s">
        <v>2</v>
      </c>
      <c r="C1" s="39" t="s">
        <v>3</v>
      </c>
      <c r="D1" s="39" t="s">
        <v>4</v>
      </c>
      <c r="E1" s="39" t="s">
        <v>7</v>
      </c>
      <c r="F1" s="39" t="s">
        <v>8</v>
      </c>
      <c r="G1" s="39" t="s">
        <v>9</v>
      </c>
      <c r="H1" s="39" t="s">
        <v>10</v>
      </c>
      <c r="I1" s="39" t="s">
        <v>11</v>
      </c>
      <c r="J1" s="39" t="s">
        <v>12</v>
      </c>
      <c r="K1" s="21" t="s">
        <v>32</v>
      </c>
      <c r="L1" s="21" t="s">
        <v>33</v>
      </c>
      <c r="M1" s="21" t="s">
        <v>34</v>
      </c>
      <c r="N1" s="21" t="s">
        <v>35</v>
      </c>
    </row>
    <row r="2" spans="1:14" x14ac:dyDescent="0.25">
      <c r="A2" s="40">
        <v>1</v>
      </c>
      <c r="B2" s="41">
        <v>0.01</v>
      </c>
      <c r="C2" s="41">
        <v>0.03</v>
      </c>
      <c r="D2" s="41">
        <v>-0.01</v>
      </c>
      <c r="E2" s="41">
        <v>-0.05</v>
      </c>
      <c r="F2" s="41">
        <v>0.01</v>
      </c>
      <c r="G2" s="41">
        <v>0.04</v>
      </c>
      <c r="H2" s="41">
        <v>0.06</v>
      </c>
      <c r="I2" s="41">
        <v>0.01</v>
      </c>
      <c r="J2" s="41">
        <v>-0.02</v>
      </c>
      <c r="K2" s="42"/>
      <c r="L2" s="42"/>
      <c r="M2" s="42"/>
      <c r="N2" s="42"/>
    </row>
    <row r="3" spans="1:14" x14ac:dyDescent="0.25">
      <c r="A3" s="40">
        <v>2</v>
      </c>
      <c r="B3" s="41">
        <v>0.05</v>
      </c>
      <c r="C3" s="41">
        <v>0.09</v>
      </c>
      <c r="D3" s="41">
        <v>0.02</v>
      </c>
      <c r="E3" s="41">
        <v>0.04</v>
      </c>
      <c r="F3" s="41">
        <v>0.01</v>
      </c>
      <c r="G3" s="41">
        <v>0.02</v>
      </c>
      <c r="H3" s="41">
        <v>7.0000000000000007E-2</v>
      </c>
      <c r="I3" s="41">
        <v>0.01</v>
      </c>
      <c r="J3" s="41">
        <v>-0.01</v>
      </c>
      <c r="K3" s="42"/>
      <c r="L3" s="42"/>
      <c r="M3" s="42"/>
      <c r="N3" s="42"/>
    </row>
    <row r="4" spans="1:14" x14ac:dyDescent="0.25">
      <c r="A4" s="40">
        <v>3</v>
      </c>
      <c r="B4" s="41">
        <v>0.03</v>
      </c>
      <c r="C4" s="41">
        <v>0.02</v>
      </c>
      <c r="D4" s="41">
        <v>0.03</v>
      </c>
      <c r="E4" s="41">
        <v>-0.04</v>
      </c>
      <c r="F4" s="41">
        <v>7.0000000000000007E-2</v>
      </c>
      <c r="G4" s="41">
        <v>-0.06</v>
      </c>
      <c r="H4" s="41">
        <v>0.02</v>
      </c>
      <c r="I4" s="41">
        <v>-0.03</v>
      </c>
      <c r="J4" s="41">
        <v>0.04</v>
      </c>
      <c r="K4" s="42"/>
      <c r="L4" s="42"/>
      <c r="M4" s="42"/>
      <c r="N4" s="42"/>
    </row>
    <row r="5" spans="1:14" x14ac:dyDescent="0.25">
      <c r="A5" s="40">
        <v>4</v>
      </c>
      <c r="B5" s="41">
        <v>0.03</v>
      </c>
      <c r="C5" s="41">
        <v>-0.08</v>
      </c>
      <c r="D5" s="41">
        <v>0.04</v>
      </c>
      <c r="E5" s="41">
        <v>-0.04</v>
      </c>
      <c r="F5" s="41">
        <v>-0.01</v>
      </c>
      <c r="G5" s="41">
        <v>0.05</v>
      </c>
      <c r="H5" s="41">
        <v>0.02</v>
      </c>
      <c r="I5" s="41">
        <v>0.06</v>
      </c>
      <c r="J5" s="41">
        <v>0.02</v>
      </c>
      <c r="K5" s="42"/>
      <c r="L5" s="42"/>
      <c r="M5" s="42"/>
      <c r="N5" s="42"/>
    </row>
    <row r="6" spans="1:14" x14ac:dyDescent="0.25">
      <c r="A6" s="40">
        <v>5</v>
      </c>
      <c r="B6" s="41">
        <v>0.04</v>
      </c>
      <c r="C6" s="41">
        <v>0.06</v>
      </c>
      <c r="D6" s="41">
        <v>0.02</v>
      </c>
      <c r="E6" s="41">
        <v>-0.02</v>
      </c>
      <c r="F6" s="41">
        <v>7.0000000000000007E-2</v>
      </c>
      <c r="G6" s="41">
        <v>0.05</v>
      </c>
      <c r="H6" s="41">
        <v>0.06</v>
      </c>
      <c r="I6" s="41">
        <v>-0.03</v>
      </c>
      <c r="J6" s="41">
        <v>-0.01</v>
      </c>
      <c r="K6" s="42"/>
      <c r="L6" s="42"/>
      <c r="M6" s="42"/>
      <c r="N6" s="42"/>
    </row>
    <row r="7" spans="1:14" x14ac:dyDescent="0.25">
      <c r="A7" s="40">
        <v>6</v>
      </c>
      <c r="B7" s="41">
        <v>-0.01</v>
      </c>
      <c r="C7" s="41">
        <v>-0.06</v>
      </c>
      <c r="D7" s="41">
        <v>0.03</v>
      </c>
      <c r="E7" s="41">
        <v>-0.05</v>
      </c>
      <c r="F7" s="41">
        <v>7.0000000000000007E-2</v>
      </c>
      <c r="G7" s="41">
        <v>-0.05</v>
      </c>
      <c r="H7" s="41">
        <v>7.0000000000000007E-2</v>
      </c>
      <c r="I7" s="41">
        <v>-0.01</v>
      </c>
      <c r="J7" s="41">
        <v>0.02</v>
      </c>
      <c r="K7" s="42"/>
      <c r="L7" s="42"/>
      <c r="M7" s="42"/>
      <c r="N7" s="42"/>
    </row>
    <row r="8" spans="1:14" x14ac:dyDescent="0.25">
      <c r="A8" s="40">
        <v>7</v>
      </c>
      <c r="B8" s="41">
        <v>0.02</v>
      </c>
      <c r="C8" s="41">
        <v>0.06</v>
      </c>
      <c r="D8" s="41">
        <v>0.05</v>
      </c>
      <c r="E8" s="41">
        <v>0.05</v>
      </c>
      <c r="F8" s="41">
        <v>0.02</v>
      </c>
      <c r="G8" s="41">
        <v>0.03</v>
      </c>
      <c r="H8" s="41">
        <v>-0.01</v>
      </c>
      <c r="I8" s="41">
        <v>0.03</v>
      </c>
      <c r="J8" s="41">
        <v>-0.02</v>
      </c>
      <c r="K8" s="42"/>
      <c r="L8" s="42"/>
      <c r="M8" s="42"/>
      <c r="N8" s="42"/>
    </row>
    <row r="9" spans="1:14" x14ac:dyDescent="0.25">
      <c r="A9" s="40">
        <v>8</v>
      </c>
      <c r="B9" s="41">
        <v>-0.02</v>
      </c>
      <c r="C9" s="41">
        <v>0.04</v>
      </c>
      <c r="D9" s="41">
        <v>0.01</v>
      </c>
      <c r="E9" s="41">
        <v>0.04</v>
      </c>
      <c r="F9" s="41">
        <v>0.02</v>
      </c>
      <c r="G9" s="41">
        <v>7.0000000000000007E-2</v>
      </c>
      <c r="H9" s="41">
        <v>-0.01</v>
      </c>
      <c r="I9" s="41">
        <v>-0.01</v>
      </c>
      <c r="J9" s="41">
        <v>-0.01</v>
      </c>
      <c r="K9" s="42"/>
      <c r="L9" s="42"/>
      <c r="M9" s="42"/>
      <c r="N9" s="42"/>
    </row>
    <row r="10" spans="1:14" x14ac:dyDescent="0.25">
      <c r="A10" s="40">
        <v>9</v>
      </c>
      <c r="B10" s="41">
        <v>-0.02</v>
      </c>
      <c r="C10" s="41">
        <v>-0.08</v>
      </c>
      <c r="D10" s="41">
        <v>7.0000000000000007E-2</v>
      </c>
      <c r="E10" s="41">
        <v>-0.06</v>
      </c>
      <c r="F10" s="41">
        <v>0.03</v>
      </c>
      <c r="G10" s="41">
        <v>0.01</v>
      </c>
      <c r="H10" s="41">
        <v>-0.02</v>
      </c>
      <c r="I10" s="41">
        <v>0.05</v>
      </c>
      <c r="J10" s="41">
        <v>-0.02</v>
      </c>
      <c r="K10" s="42"/>
      <c r="L10" s="42"/>
      <c r="M10" s="42"/>
      <c r="N10" s="42"/>
    </row>
    <row r="11" spans="1:14" x14ac:dyDescent="0.25">
      <c r="A11" s="40">
        <v>10</v>
      </c>
      <c r="B11" s="41">
        <v>0.06</v>
      </c>
      <c r="C11" s="41">
        <v>-0.02</v>
      </c>
      <c r="D11" s="41">
        <v>0.06</v>
      </c>
      <c r="E11" s="41">
        <v>-0.04</v>
      </c>
      <c r="F11" s="41">
        <v>-0.02</v>
      </c>
      <c r="G11" s="41">
        <v>0.06</v>
      </c>
      <c r="H11" s="41">
        <v>0.08</v>
      </c>
      <c r="I11" s="41">
        <v>0.02</v>
      </c>
      <c r="J11" s="41">
        <v>0.02</v>
      </c>
      <c r="K11" s="42"/>
      <c r="L11" s="42"/>
      <c r="M11" s="42"/>
      <c r="N11" s="42"/>
    </row>
    <row r="12" spans="1:14" x14ac:dyDescent="0.25">
      <c r="A12" s="40">
        <v>11</v>
      </c>
      <c r="B12" s="41">
        <v>0.03</v>
      </c>
      <c r="C12" s="41">
        <v>-0.03</v>
      </c>
      <c r="D12" s="41">
        <v>-0.01</v>
      </c>
      <c r="E12" s="41">
        <v>-0.04</v>
      </c>
      <c r="F12" s="41">
        <v>0.02</v>
      </c>
      <c r="G12" s="41">
        <v>-0.01</v>
      </c>
      <c r="H12" s="41">
        <v>7.0000000000000007E-2</v>
      </c>
      <c r="I12" s="41">
        <v>7.0000000000000007E-2</v>
      </c>
      <c r="J12" s="41">
        <v>0.01</v>
      </c>
      <c r="K12" s="42"/>
      <c r="L12" s="42"/>
      <c r="M12" s="42"/>
      <c r="N12" s="42"/>
    </row>
    <row r="13" spans="1:14" x14ac:dyDescent="0.25">
      <c r="A13" s="40">
        <v>12</v>
      </c>
      <c r="B13" s="41">
        <v>-0.02</v>
      </c>
      <c r="C13" s="41">
        <v>-0.03</v>
      </c>
      <c r="D13" s="41">
        <v>0.05</v>
      </c>
      <c r="E13" s="41">
        <v>0.05</v>
      </c>
      <c r="F13" s="41">
        <v>0.06</v>
      </c>
      <c r="G13" s="41">
        <v>0.01</v>
      </c>
      <c r="H13" s="41">
        <v>0.01</v>
      </c>
      <c r="I13" s="41">
        <v>-0.02</v>
      </c>
      <c r="J13" s="41">
        <v>-0.01</v>
      </c>
      <c r="K13" s="42"/>
      <c r="L13" s="42"/>
      <c r="M13" s="42"/>
      <c r="N13" s="42"/>
    </row>
    <row r="14" spans="1:14" x14ac:dyDescent="0.25">
      <c r="A14" s="40">
        <v>13</v>
      </c>
      <c r="B14" s="41">
        <v>0.01</v>
      </c>
      <c r="C14" s="41">
        <v>0.02</v>
      </c>
      <c r="D14" s="41">
        <v>-0.01</v>
      </c>
      <c r="E14" s="41">
        <v>0.02</v>
      </c>
      <c r="F14" s="41">
        <v>0.01</v>
      </c>
      <c r="G14" s="41">
        <v>-0.02</v>
      </c>
      <c r="H14" s="41">
        <v>0.02</v>
      </c>
      <c r="I14" s="41">
        <v>7.0000000000000007E-2</v>
      </c>
      <c r="J14" s="41">
        <v>0.05</v>
      </c>
      <c r="K14" s="42"/>
      <c r="L14" s="42"/>
      <c r="M14" s="42"/>
      <c r="N14" s="42"/>
    </row>
    <row r="15" spans="1:14" x14ac:dyDescent="0.25">
      <c r="A15" s="40">
        <v>14</v>
      </c>
      <c r="B15" s="41">
        <v>0.01</v>
      </c>
      <c r="C15" s="41">
        <v>0.02</v>
      </c>
      <c r="D15" s="41">
        <v>-0.01</v>
      </c>
      <c r="E15" s="41">
        <v>-0.06</v>
      </c>
      <c r="F15" s="41">
        <v>0.04</v>
      </c>
      <c r="G15" s="41">
        <v>-0.03</v>
      </c>
      <c r="H15" s="41">
        <v>7.0000000000000007E-2</v>
      </c>
      <c r="I15" s="41">
        <v>-0.02</v>
      </c>
      <c r="J15" s="41">
        <v>0.02</v>
      </c>
      <c r="K15" s="42"/>
      <c r="L15" s="42"/>
      <c r="M15" s="42"/>
      <c r="N15" s="42"/>
    </row>
    <row r="16" spans="1:14" x14ac:dyDescent="0.25">
      <c r="A16" s="40">
        <v>15</v>
      </c>
      <c r="B16" s="41">
        <v>0.01</v>
      </c>
      <c r="C16" s="41">
        <v>7.0000000000000007E-2</v>
      </c>
      <c r="D16" s="41">
        <v>-0.02</v>
      </c>
      <c r="E16" s="41">
        <v>0.05</v>
      </c>
      <c r="F16" s="41">
        <v>0.03</v>
      </c>
      <c r="G16" s="41">
        <v>0.05</v>
      </c>
      <c r="H16" s="41">
        <v>0.01</v>
      </c>
      <c r="I16" s="41">
        <v>0.01</v>
      </c>
      <c r="J16" s="41">
        <v>0.06</v>
      </c>
      <c r="K16" s="42"/>
      <c r="L16" s="42"/>
      <c r="M16" s="42"/>
      <c r="N16" s="42"/>
    </row>
    <row r="17" spans="1:14" x14ac:dyDescent="0.25">
      <c r="A17" s="40">
        <v>16</v>
      </c>
      <c r="B17" s="41">
        <v>0.02</v>
      </c>
      <c r="C17" s="41">
        <v>-0.05</v>
      </c>
      <c r="D17" s="41">
        <v>0.03</v>
      </c>
      <c r="E17" s="41">
        <v>-0.03</v>
      </c>
      <c r="F17" s="41">
        <v>0.02</v>
      </c>
      <c r="G17" s="41">
        <v>-0.04</v>
      </c>
      <c r="H17" s="41">
        <v>7.0000000000000007E-2</v>
      </c>
      <c r="I17" s="41">
        <v>-0.02</v>
      </c>
      <c r="J17" s="41">
        <v>0.06</v>
      </c>
      <c r="K17" s="42"/>
      <c r="L17" s="42"/>
      <c r="M17" s="42"/>
      <c r="N17" s="42"/>
    </row>
    <row r="18" spans="1:14" x14ac:dyDescent="0.25">
      <c r="A18" s="40">
        <v>17</v>
      </c>
      <c r="B18" s="41">
        <v>0.01</v>
      </c>
      <c r="C18" s="41">
        <v>-7.0000000000000007E-2</v>
      </c>
      <c r="D18" s="41">
        <v>7.0000000000000007E-2</v>
      </c>
      <c r="E18" s="41">
        <v>-0.04</v>
      </c>
      <c r="F18" s="41">
        <v>0.05</v>
      </c>
      <c r="G18" s="41">
        <v>0.05</v>
      </c>
      <c r="H18" s="41">
        <v>0.06</v>
      </c>
      <c r="I18" s="41">
        <v>-0.02</v>
      </c>
      <c r="J18" s="41">
        <v>0.02</v>
      </c>
      <c r="K18" s="42"/>
      <c r="L18" s="42"/>
      <c r="M18" s="42"/>
      <c r="N18" s="42"/>
    </row>
    <row r="19" spans="1:14" x14ac:dyDescent="0.25">
      <c r="A19" s="40">
        <v>18</v>
      </c>
      <c r="B19" s="41">
        <v>-0.01</v>
      </c>
      <c r="C19" s="41">
        <v>0.02</v>
      </c>
      <c r="D19" s="41">
        <v>-0.01</v>
      </c>
      <c r="E19" s="41">
        <v>-0.03</v>
      </c>
      <c r="F19" s="41">
        <v>0.06</v>
      </c>
      <c r="G19" s="41">
        <v>0.03</v>
      </c>
      <c r="H19" s="41">
        <v>0.02</v>
      </c>
      <c r="I19" s="41">
        <v>-0.02</v>
      </c>
      <c r="J19" s="41">
        <v>0.04</v>
      </c>
      <c r="K19" s="42"/>
      <c r="L19" s="42"/>
      <c r="M19" s="42"/>
      <c r="N19" s="42"/>
    </row>
    <row r="20" spans="1:14" x14ac:dyDescent="0.25">
      <c r="A20" s="40">
        <v>19</v>
      </c>
      <c r="B20" s="41">
        <v>0.04</v>
      </c>
      <c r="C20" s="41">
        <v>7.0000000000000007E-2</v>
      </c>
      <c r="D20" s="41">
        <v>0.02</v>
      </c>
      <c r="E20" s="41">
        <v>0.02</v>
      </c>
      <c r="F20" s="41">
        <v>0.06</v>
      </c>
      <c r="G20" s="41">
        <v>0.05</v>
      </c>
      <c r="H20" s="41">
        <v>-0.01</v>
      </c>
      <c r="I20" s="41">
        <v>0.01</v>
      </c>
      <c r="J20" s="41">
        <v>0.05</v>
      </c>
      <c r="K20" s="42"/>
      <c r="L20" s="42"/>
      <c r="M20" s="42"/>
      <c r="N20" s="42"/>
    </row>
    <row r="21" spans="1:14" x14ac:dyDescent="0.25">
      <c r="A21" s="40">
        <v>20</v>
      </c>
      <c r="B21" s="41">
        <v>7.0000000000000007E-2</v>
      </c>
      <c r="C21" s="41">
        <v>0.05</v>
      </c>
      <c r="D21" s="41">
        <v>0.03</v>
      </c>
      <c r="E21" s="41">
        <v>-0.05</v>
      </c>
      <c r="F21" s="41">
        <v>0.03</v>
      </c>
      <c r="G21" s="41">
        <v>0.08</v>
      </c>
      <c r="H21" s="41">
        <v>0.05</v>
      </c>
      <c r="I21" s="41">
        <v>7.0000000000000007E-2</v>
      </c>
      <c r="J21" s="41">
        <v>0.05</v>
      </c>
      <c r="K21" s="42"/>
      <c r="L21" s="42"/>
      <c r="M21" s="42"/>
      <c r="N21" s="42"/>
    </row>
    <row r="22" spans="1:14" x14ac:dyDescent="0.25">
      <c r="A22" s="40">
        <v>21</v>
      </c>
      <c r="B22" s="41">
        <v>0.04</v>
      </c>
      <c r="C22" s="41">
        <v>-0.08</v>
      </c>
      <c r="D22" s="41">
        <v>0.04</v>
      </c>
      <c r="E22" s="41">
        <v>-0.03</v>
      </c>
      <c r="F22" s="41">
        <v>0.01</v>
      </c>
      <c r="G22" s="41">
        <v>0.03</v>
      </c>
      <c r="H22" s="41">
        <v>-0.01</v>
      </c>
      <c r="I22" s="41">
        <v>0.02</v>
      </c>
      <c r="J22" s="41">
        <v>0.04</v>
      </c>
      <c r="K22" s="42"/>
      <c r="L22" s="42"/>
      <c r="M22" s="42"/>
      <c r="N22" s="42"/>
    </row>
    <row r="23" spans="1:14" x14ac:dyDescent="0.25">
      <c r="A23" s="40">
        <v>22</v>
      </c>
      <c r="B23" s="41">
        <v>0.05</v>
      </c>
      <c r="C23" s="41">
        <v>0.02</v>
      </c>
      <c r="D23" s="41">
        <v>0.03</v>
      </c>
      <c r="E23" s="41">
        <v>-0.04</v>
      </c>
      <c r="F23" s="41">
        <v>7.0000000000000007E-2</v>
      </c>
      <c r="G23" s="41">
        <v>0.01</v>
      </c>
      <c r="H23" s="41">
        <v>0.06</v>
      </c>
      <c r="I23" s="41">
        <v>-0.03</v>
      </c>
      <c r="J23" s="41">
        <v>-0.02</v>
      </c>
      <c r="K23" s="42"/>
      <c r="L23" s="42"/>
      <c r="M23" s="42"/>
      <c r="N23" s="42"/>
    </row>
    <row r="24" spans="1:14" x14ac:dyDescent="0.25">
      <c r="A24" s="40">
        <v>23</v>
      </c>
      <c r="B24" s="41">
        <v>0.05</v>
      </c>
      <c r="C24" s="41">
        <v>-0.01</v>
      </c>
      <c r="D24" s="41">
        <v>0.04</v>
      </c>
      <c r="E24" s="41">
        <v>0.03</v>
      </c>
      <c r="F24" s="41">
        <v>-0.01</v>
      </c>
      <c r="G24" s="41">
        <v>0.03</v>
      </c>
      <c r="H24" s="41">
        <v>7.0000000000000007E-2</v>
      </c>
      <c r="I24" s="41">
        <v>0.02</v>
      </c>
      <c r="J24" s="41">
        <v>0.03</v>
      </c>
      <c r="K24" s="42"/>
      <c r="L24" s="42"/>
      <c r="M24" s="42"/>
      <c r="N24" s="42"/>
    </row>
    <row r="25" spans="1:14" x14ac:dyDescent="0.25">
      <c r="A25" s="40">
        <v>24</v>
      </c>
      <c r="B25" s="41">
        <v>-0.01</v>
      </c>
      <c r="C25" s="41">
        <v>0.1</v>
      </c>
      <c r="D25" s="41">
        <v>0.03</v>
      </c>
      <c r="E25" s="41">
        <v>0.01</v>
      </c>
      <c r="F25" s="41">
        <v>0.04</v>
      </c>
      <c r="G25" s="41">
        <v>-0.05</v>
      </c>
      <c r="H25" s="41">
        <v>0.06</v>
      </c>
      <c r="I25" s="41">
        <v>0.01</v>
      </c>
      <c r="J25" s="41">
        <v>-0.03</v>
      </c>
      <c r="K25" s="42"/>
      <c r="L25" s="42"/>
      <c r="M25" s="42"/>
      <c r="N25" s="42"/>
    </row>
    <row r="26" spans="1:14" x14ac:dyDescent="0.25">
      <c r="A26" s="40">
        <v>25</v>
      </c>
      <c r="B26" s="41">
        <v>0.04</v>
      </c>
      <c r="C26" s="41">
        <v>-0.04</v>
      </c>
      <c r="D26" s="41">
        <v>0.01</v>
      </c>
      <c r="E26" s="41">
        <v>0.06</v>
      </c>
      <c r="F26" s="41">
        <v>0.02</v>
      </c>
      <c r="G26" s="41">
        <v>0.03</v>
      </c>
      <c r="H26" s="41">
        <v>0.05</v>
      </c>
      <c r="I26" s="41">
        <v>7.0000000000000007E-2</v>
      </c>
      <c r="J26" s="41">
        <v>0.02</v>
      </c>
      <c r="K26" s="42"/>
      <c r="L26" s="42"/>
      <c r="M26" s="42"/>
      <c r="N26" s="42"/>
    </row>
    <row r="27" spans="1:14" x14ac:dyDescent="0.25">
      <c r="A27" s="40">
        <v>26</v>
      </c>
      <c r="B27" s="41">
        <v>0.02</v>
      </c>
      <c r="C27" s="41">
        <v>-7.0000000000000007E-2</v>
      </c>
      <c r="D27" s="41">
        <v>0.04</v>
      </c>
      <c r="E27" s="41">
        <v>-0.06</v>
      </c>
      <c r="F27" s="41">
        <v>0.05</v>
      </c>
      <c r="G27" s="41">
        <v>0.01</v>
      </c>
      <c r="H27" s="41">
        <v>0.05</v>
      </c>
      <c r="I27" s="41">
        <v>0.06</v>
      </c>
      <c r="J27" s="41">
        <v>0.05</v>
      </c>
      <c r="K27" s="42"/>
      <c r="L27" s="42"/>
      <c r="M27" s="42"/>
      <c r="N27" s="42"/>
    </row>
    <row r="28" spans="1:14" x14ac:dyDescent="0.25">
      <c r="A28" s="40">
        <v>27</v>
      </c>
      <c r="B28" s="41">
        <v>0.06</v>
      </c>
      <c r="C28" s="41">
        <v>0.03</v>
      </c>
      <c r="D28" s="41">
        <v>0.03</v>
      </c>
      <c r="E28" s="41">
        <v>7.0000000000000007E-2</v>
      </c>
      <c r="F28" s="41">
        <v>-0.01</v>
      </c>
      <c r="G28" s="41">
        <v>0.03</v>
      </c>
      <c r="H28" s="41">
        <v>0.01</v>
      </c>
      <c r="I28" s="41">
        <v>0.03</v>
      </c>
      <c r="J28" s="41">
        <v>-0.02</v>
      </c>
      <c r="K28" s="42"/>
      <c r="L28" s="42"/>
      <c r="M28" s="42"/>
      <c r="N28" s="42"/>
    </row>
    <row r="29" spans="1:14" x14ac:dyDescent="0.25">
      <c r="A29" s="40">
        <v>28</v>
      </c>
      <c r="B29" s="41">
        <v>7.0000000000000007E-2</v>
      </c>
      <c r="C29" s="41">
        <v>-0.05</v>
      </c>
      <c r="D29" s="41">
        <v>-0.01</v>
      </c>
      <c r="E29" s="41">
        <v>-0.06</v>
      </c>
      <c r="F29" s="41">
        <v>0.02</v>
      </c>
      <c r="G29" s="41">
        <v>-0.04</v>
      </c>
      <c r="H29" s="41">
        <v>-0.02</v>
      </c>
      <c r="I29" s="41">
        <v>-0.01</v>
      </c>
      <c r="J29" s="41">
        <v>0.04</v>
      </c>
      <c r="K29" s="42"/>
      <c r="L29" s="42"/>
      <c r="M29" s="42"/>
      <c r="N29" s="42"/>
    </row>
    <row r="30" spans="1:14" x14ac:dyDescent="0.25">
      <c r="A30" s="40">
        <v>29</v>
      </c>
      <c r="B30" s="41">
        <v>0.08</v>
      </c>
      <c r="C30" s="41">
        <v>0.03</v>
      </c>
      <c r="D30" s="41">
        <v>0.04</v>
      </c>
      <c r="E30" s="41">
        <v>0.02</v>
      </c>
      <c r="F30" s="41">
        <v>7.0000000000000007E-2</v>
      </c>
      <c r="G30" s="41">
        <v>-0.01</v>
      </c>
      <c r="H30" s="41">
        <v>-0.01</v>
      </c>
      <c r="I30" s="41">
        <v>0.06</v>
      </c>
      <c r="J30" s="41">
        <v>0.02</v>
      </c>
      <c r="K30" s="42"/>
      <c r="L30" s="42"/>
      <c r="M30" s="42"/>
      <c r="N30" s="42"/>
    </row>
    <row r="31" spans="1:14" x14ac:dyDescent="0.25">
      <c r="A31" s="40">
        <v>30</v>
      </c>
      <c r="B31" s="41">
        <v>0.02</v>
      </c>
      <c r="C31" s="41">
        <v>0.03</v>
      </c>
      <c r="D31" s="41">
        <v>0.04</v>
      </c>
      <c r="E31" s="41">
        <v>-0.01</v>
      </c>
      <c r="F31" s="41">
        <v>-0.02</v>
      </c>
      <c r="G31" s="41">
        <v>-0.06</v>
      </c>
      <c r="H31" s="41">
        <v>0.04</v>
      </c>
      <c r="I31" s="41">
        <v>-0.02</v>
      </c>
      <c r="J31" s="41">
        <v>-0.01</v>
      </c>
      <c r="K31" s="42"/>
      <c r="L31" s="42"/>
      <c r="M31" s="42"/>
      <c r="N31" s="42"/>
    </row>
    <row r="32" spans="1:14" x14ac:dyDescent="0.25">
      <c r="A32" s="40">
        <v>31</v>
      </c>
      <c r="B32" s="41">
        <v>0.05</v>
      </c>
      <c r="C32" s="41">
        <v>0.03</v>
      </c>
      <c r="D32" s="41">
        <v>0.06</v>
      </c>
      <c r="E32" s="41">
        <v>-0.01</v>
      </c>
      <c r="F32" s="41">
        <v>-0.02</v>
      </c>
      <c r="G32" s="41">
        <v>0.02</v>
      </c>
      <c r="H32" s="41">
        <v>-0.01</v>
      </c>
      <c r="I32" s="41">
        <v>7.0000000000000007E-2</v>
      </c>
      <c r="J32" s="41">
        <v>0.02</v>
      </c>
      <c r="K32" s="42"/>
      <c r="L32" s="42"/>
      <c r="M32" s="42"/>
      <c r="N32" s="42"/>
    </row>
    <row r="33" spans="1:14" x14ac:dyDescent="0.25">
      <c r="A33" s="40">
        <v>32</v>
      </c>
      <c r="B33" s="41">
        <v>7.0000000000000007E-2</v>
      </c>
      <c r="C33" s="41">
        <v>-0.03</v>
      </c>
      <c r="D33" s="41">
        <v>0.05</v>
      </c>
      <c r="E33" s="41">
        <v>0.06</v>
      </c>
      <c r="F33" s="41">
        <v>0.05</v>
      </c>
      <c r="G33" s="41">
        <v>0.01</v>
      </c>
      <c r="H33" s="41">
        <v>0.02</v>
      </c>
      <c r="I33" s="41">
        <v>0.06</v>
      </c>
      <c r="J33" s="41">
        <v>-0.03</v>
      </c>
      <c r="K33" s="42"/>
      <c r="L33" s="42"/>
      <c r="M33" s="42"/>
      <c r="N33" s="42"/>
    </row>
    <row r="34" spans="1:14" x14ac:dyDescent="0.25">
      <c r="A34" s="40">
        <v>33</v>
      </c>
      <c r="B34" s="41">
        <v>-0.01</v>
      </c>
      <c r="C34" s="41">
        <v>0.1</v>
      </c>
      <c r="D34" s="41">
        <v>0.04</v>
      </c>
      <c r="E34" s="41">
        <v>0.01</v>
      </c>
      <c r="F34" s="41">
        <v>-0.03</v>
      </c>
      <c r="G34" s="41">
        <v>0.04</v>
      </c>
      <c r="H34" s="41">
        <v>0.05</v>
      </c>
      <c r="I34" s="41">
        <v>0.02</v>
      </c>
      <c r="J34" s="41">
        <v>-0.03</v>
      </c>
      <c r="K34" s="42"/>
      <c r="L34" s="42"/>
      <c r="M34" s="42"/>
      <c r="N34" s="42"/>
    </row>
    <row r="35" spans="1:14" x14ac:dyDescent="0.25">
      <c r="A35" s="40">
        <v>34</v>
      </c>
      <c r="B35" s="41">
        <v>7.0000000000000007E-2</v>
      </c>
      <c r="C35" s="41">
        <v>0.06</v>
      </c>
      <c r="D35" s="41">
        <v>0.05</v>
      </c>
      <c r="E35" s="41">
        <v>0.03</v>
      </c>
      <c r="F35" s="41">
        <v>-0.01</v>
      </c>
      <c r="G35" s="41">
        <v>7.0000000000000007E-2</v>
      </c>
      <c r="H35" s="41">
        <v>0.04</v>
      </c>
      <c r="I35" s="41">
        <v>0.06</v>
      </c>
      <c r="J35" s="41">
        <v>0.06</v>
      </c>
      <c r="K35" s="42"/>
      <c r="L35" s="42"/>
      <c r="M35" s="42"/>
      <c r="N35" s="42"/>
    </row>
    <row r="36" spans="1:14" x14ac:dyDescent="0.25">
      <c r="A36" s="40">
        <v>35</v>
      </c>
      <c r="B36" s="41">
        <v>0.05</v>
      </c>
      <c r="C36" s="41">
        <v>0.01</v>
      </c>
      <c r="D36" s="41">
        <v>0.02</v>
      </c>
      <c r="E36" s="41">
        <v>0.04</v>
      </c>
      <c r="F36" s="41">
        <v>0.02</v>
      </c>
      <c r="G36" s="41">
        <v>-0.05</v>
      </c>
      <c r="H36" s="41">
        <v>-0.01</v>
      </c>
      <c r="I36" s="41">
        <v>0.06</v>
      </c>
      <c r="J36" s="41">
        <v>-0.02</v>
      </c>
      <c r="K36" s="42"/>
      <c r="L36" s="42"/>
      <c r="M36" s="42"/>
      <c r="N36" s="42"/>
    </row>
    <row r="37" spans="1:14" x14ac:dyDescent="0.25">
      <c r="A37" s="40">
        <v>36</v>
      </c>
      <c r="B37" s="41">
        <v>0.04</v>
      </c>
      <c r="C37" s="41">
        <v>-0.02</v>
      </c>
      <c r="D37" s="41">
        <v>0.05</v>
      </c>
      <c r="E37" s="41">
        <v>7.0000000000000007E-2</v>
      </c>
      <c r="F37" s="41">
        <v>0.04</v>
      </c>
      <c r="G37" s="41">
        <v>-0.06</v>
      </c>
      <c r="H37" s="41">
        <v>7.0000000000000007E-2</v>
      </c>
      <c r="I37" s="41">
        <v>0.01</v>
      </c>
      <c r="J37" s="41">
        <v>-0.02</v>
      </c>
      <c r="K37" s="42"/>
      <c r="L37" s="42"/>
      <c r="M37" s="42"/>
      <c r="N37" s="42"/>
    </row>
    <row r="38" spans="1:14" x14ac:dyDescent="0.25">
      <c r="A38" s="40">
        <v>37</v>
      </c>
      <c r="B38" s="41">
        <v>0.03</v>
      </c>
      <c r="C38" s="41">
        <v>0.03</v>
      </c>
      <c r="D38" s="41">
        <v>0.03</v>
      </c>
      <c r="E38" s="41">
        <v>-0.02</v>
      </c>
      <c r="F38" s="41">
        <v>7.0000000000000007E-2</v>
      </c>
      <c r="G38" s="41">
        <v>0.01</v>
      </c>
      <c r="H38" s="41">
        <v>0.05</v>
      </c>
      <c r="I38" s="41">
        <v>0.05</v>
      </c>
      <c r="J38" s="41">
        <v>0.05</v>
      </c>
      <c r="K38" s="42"/>
      <c r="L38" s="42"/>
      <c r="M38" s="42"/>
      <c r="N38" s="42"/>
    </row>
    <row r="39" spans="1:14" x14ac:dyDescent="0.25">
      <c r="A39" s="40">
        <v>38</v>
      </c>
      <c r="B39" s="41">
        <v>0.06</v>
      </c>
      <c r="C39" s="41">
        <v>0.02</v>
      </c>
      <c r="D39" s="41">
        <v>-0.02</v>
      </c>
      <c r="E39" s="41">
        <v>0.04</v>
      </c>
      <c r="F39" s="41">
        <v>0.01</v>
      </c>
      <c r="G39" s="41">
        <v>0.08</v>
      </c>
      <c r="H39" s="41">
        <v>7.0000000000000007E-2</v>
      </c>
      <c r="I39" s="41">
        <v>0.04</v>
      </c>
      <c r="J39" s="41">
        <v>-0.02</v>
      </c>
      <c r="K39" s="42"/>
      <c r="L39" s="42"/>
      <c r="M39" s="42"/>
      <c r="N39" s="42"/>
    </row>
    <row r="40" spans="1:14" x14ac:dyDescent="0.25">
      <c r="A40" s="40">
        <v>39</v>
      </c>
      <c r="B40" s="41">
        <v>-0.01</v>
      </c>
      <c r="C40" s="41">
        <v>0.06</v>
      </c>
      <c r="D40" s="41">
        <v>0.04</v>
      </c>
      <c r="E40" s="41">
        <v>0.01</v>
      </c>
      <c r="F40" s="41">
        <v>-0.02</v>
      </c>
      <c r="G40" s="41">
        <v>-0.04</v>
      </c>
      <c r="H40" s="41">
        <v>0.04</v>
      </c>
      <c r="I40" s="41">
        <v>0.01</v>
      </c>
      <c r="J40" s="41">
        <v>0.03</v>
      </c>
      <c r="K40" s="42"/>
      <c r="L40" s="42"/>
      <c r="M40" s="42"/>
      <c r="N40" s="42"/>
    </row>
    <row r="41" spans="1:14" x14ac:dyDescent="0.25">
      <c r="A41" s="40">
        <v>40</v>
      </c>
      <c r="B41" s="41">
        <v>0.05</v>
      </c>
      <c r="C41" s="41">
        <v>0.04</v>
      </c>
      <c r="D41" s="41">
        <v>0.03</v>
      </c>
      <c r="E41" s="41">
        <v>0.05</v>
      </c>
      <c r="F41" s="41">
        <v>0.02</v>
      </c>
      <c r="G41" s="41">
        <v>-0.02</v>
      </c>
      <c r="H41" s="41">
        <v>0.01</v>
      </c>
      <c r="I41" s="41">
        <v>0.06</v>
      </c>
      <c r="J41" s="41">
        <v>0.06</v>
      </c>
      <c r="K41" s="42"/>
      <c r="L41" s="42"/>
      <c r="M41" s="42"/>
      <c r="N41" s="42"/>
    </row>
    <row r="42" spans="1:14" x14ac:dyDescent="0.25">
      <c r="A42" s="40">
        <v>41</v>
      </c>
      <c r="B42" s="41">
        <v>-0.02</v>
      </c>
      <c r="C42" s="41">
        <v>-0.06</v>
      </c>
      <c r="D42" s="41">
        <v>0.06</v>
      </c>
      <c r="E42" s="41">
        <v>-0.05</v>
      </c>
      <c r="F42" s="41">
        <v>-7.0000000000000007E-2</v>
      </c>
      <c r="G42" s="41">
        <v>-0.02</v>
      </c>
      <c r="H42" s="41">
        <v>0.03</v>
      </c>
      <c r="I42" s="41">
        <v>0.06</v>
      </c>
      <c r="J42" s="41">
        <v>-0.01</v>
      </c>
      <c r="K42" s="42"/>
      <c r="L42" s="42"/>
      <c r="M42" s="42"/>
      <c r="N42" s="42"/>
    </row>
    <row r="43" spans="1:14" x14ac:dyDescent="0.25">
      <c r="A43" s="40">
        <v>42</v>
      </c>
      <c r="B43" s="41">
        <v>0.01</v>
      </c>
      <c r="C43" s="41">
        <v>-0.01</v>
      </c>
      <c r="D43" s="41">
        <v>7.0000000000000007E-2</v>
      </c>
      <c r="E43" s="41">
        <v>0.06</v>
      </c>
      <c r="F43" s="41">
        <v>0.05</v>
      </c>
      <c r="G43" s="41">
        <v>0.04</v>
      </c>
      <c r="H43" s="41">
        <v>-0.04</v>
      </c>
      <c r="I43" s="41">
        <v>0.02</v>
      </c>
      <c r="J43" s="41">
        <v>-0.03</v>
      </c>
      <c r="K43" s="42"/>
      <c r="L43" s="42"/>
      <c r="M43" s="42"/>
      <c r="N43" s="42"/>
    </row>
    <row r="44" spans="1:14" x14ac:dyDescent="0.25">
      <c r="A44" s="40">
        <v>43</v>
      </c>
      <c r="B44" s="41">
        <v>0.03</v>
      </c>
      <c r="C44" s="41">
        <v>0.05</v>
      </c>
      <c r="D44" s="41">
        <v>7.0000000000000007E-2</v>
      </c>
      <c r="E44" s="41">
        <v>0.06</v>
      </c>
      <c r="F44" s="41">
        <v>0.01</v>
      </c>
      <c r="G44" s="41">
        <v>-0.06</v>
      </c>
      <c r="H44" s="41">
        <v>0.05</v>
      </c>
      <c r="I44" s="41">
        <v>-0.01</v>
      </c>
      <c r="J44" s="41">
        <v>0.04</v>
      </c>
      <c r="K44" s="42"/>
      <c r="L44" s="42"/>
      <c r="M44" s="42"/>
      <c r="N44" s="42"/>
    </row>
    <row r="45" spans="1:14" x14ac:dyDescent="0.25">
      <c r="A45" s="40">
        <v>44</v>
      </c>
      <c r="B45" s="41">
        <v>0.02</v>
      </c>
      <c r="C45" s="41">
        <v>0.06</v>
      </c>
      <c r="D45" s="41">
        <v>0.08</v>
      </c>
      <c r="E45" s="41">
        <v>7.0000000000000007E-2</v>
      </c>
      <c r="F45" s="41">
        <v>0.02</v>
      </c>
      <c r="G45" s="41">
        <v>7.0000000000000007E-2</v>
      </c>
      <c r="H45" s="41">
        <v>-0.01</v>
      </c>
      <c r="I45" s="41">
        <v>0.05</v>
      </c>
      <c r="J45" s="41">
        <v>0.05</v>
      </c>
      <c r="K45" s="42"/>
      <c r="L45" s="42"/>
      <c r="M45" s="42"/>
      <c r="N45" s="42"/>
    </row>
    <row r="46" spans="1:14" x14ac:dyDescent="0.25">
      <c r="A46" s="40">
        <v>45</v>
      </c>
      <c r="B46" s="41">
        <v>0.04</v>
      </c>
      <c r="C46" s="41">
        <v>0.06</v>
      </c>
      <c r="D46" s="41">
        <v>0.06</v>
      </c>
      <c r="E46" s="41">
        <v>0.04</v>
      </c>
      <c r="F46" s="41">
        <v>0.04</v>
      </c>
      <c r="G46" s="41">
        <v>-0.04</v>
      </c>
      <c r="H46" s="41">
        <v>7.0000000000000007E-2</v>
      </c>
      <c r="I46" s="41">
        <v>0.01</v>
      </c>
      <c r="J46" s="41">
        <v>0.05</v>
      </c>
      <c r="K46" s="42"/>
      <c r="L46" s="42"/>
      <c r="M46" s="42"/>
      <c r="N46" s="42"/>
    </row>
    <row r="47" spans="1:14" x14ac:dyDescent="0.25">
      <c r="A47" s="40">
        <v>46</v>
      </c>
      <c r="B47" s="41">
        <v>-0.02</v>
      </c>
      <c r="C47" s="41">
        <v>0.02</v>
      </c>
      <c r="D47" s="41">
        <v>0.01</v>
      </c>
      <c r="E47" s="41">
        <v>0.03</v>
      </c>
      <c r="F47" s="41">
        <v>-0.01</v>
      </c>
      <c r="G47" s="41">
        <v>0.06</v>
      </c>
      <c r="H47" s="41">
        <v>0.06</v>
      </c>
      <c r="I47" s="41">
        <v>-0.02</v>
      </c>
      <c r="J47" s="41">
        <v>0.06</v>
      </c>
      <c r="K47" s="42"/>
      <c r="L47" s="42"/>
      <c r="M47" s="42"/>
      <c r="N47" s="42"/>
    </row>
    <row r="48" spans="1:14" x14ac:dyDescent="0.25">
      <c r="A48" s="40">
        <v>47</v>
      </c>
      <c r="B48" s="41">
        <v>7.0000000000000007E-2</v>
      </c>
      <c r="C48" s="41">
        <v>-0.01</v>
      </c>
      <c r="D48" s="41">
        <v>0.01</v>
      </c>
      <c r="E48" s="41">
        <v>0.08</v>
      </c>
      <c r="F48" s="41">
        <v>0.01</v>
      </c>
      <c r="G48" s="41">
        <v>0.03</v>
      </c>
      <c r="H48" s="41">
        <v>-0.01</v>
      </c>
      <c r="I48" s="41">
        <v>7.0000000000000007E-2</v>
      </c>
      <c r="J48" s="41">
        <v>7.0000000000000007E-2</v>
      </c>
      <c r="K48" s="42"/>
      <c r="L48" s="42"/>
      <c r="M48" s="42"/>
      <c r="N48" s="42"/>
    </row>
    <row r="49" spans="1:14" x14ac:dyDescent="0.25">
      <c r="A49" s="40">
        <v>48</v>
      </c>
      <c r="B49" s="41">
        <v>-0.02</v>
      </c>
      <c r="C49" s="41">
        <v>-0.05</v>
      </c>
      <c r="D49" s="41">
        <v>0.03</v>
      </c>
      <c r="E49" s="41">
        <v>-0.06</v>
      </c>
      <c r="F49" s="41">
        <v>0.03</v>
      </c>
      <c r="G49" s="41">
        <v>-0.04</v>
      </c>
      <c r="H49" s="41">
        <v>-0.01</v>
      </c>
      <c r="I49" s="41">
        <v>0.04</v>
      </c>
      <c r="J49" s="41">
        <v>-0.01</v>
      </c>
      <c r="K49" s="42"/>
      <c r="L49" s="42"/>
      <c r="M49" s="42"/>
      <c r="N49" s="42"/>
    </row>
    <row r="50" spans="1:14" x14ac:dyDescent="0.25">
      <c r="A50" s="40">
        <v>49</v>
      </c>
      <c r="B50" s="41">
        <v>0.02</v>
      </c>
      <c r="C50" s="41">
        <v>7.0000000000000007E-2</v>
      </c>
      <c r="D50" s="41">
        <v>-0.01</v>
      </c>
      <c r="E50" s="41">
        <v>0.05</v>
      </c>
      <c r="F50" s="41">
        <v>-0.01</v>
      </c>
      <c r="G50" s="41">
        <v>0.04</v>
      </c>
      <c r="H50" s="41">
        <v>0.02</v>
      </c>
      <c r="I50" s="41">
        <v>0.04</v>
      </c>
      <c r="J50" s="41">
        <v>0.03</v>
      </c>
      <c r="K50" s="42"/>
      <c r="L50" s="42"/>
      <c r="M50" s="42"/>
      <c r="N50" s="42"/>
    </row>
    <row r="51" spans="1:14" x14ac:dyDescent="0.25">
      <c r="A51" s="40">
        <v>50</v>
      </c>
      <c r="B51" s="41">
        <v>0.04</v>
      </c>
      <c r="C51" s="41">
        <v>-0.03</v>
      </c>
      <c r="D51" s="41">
        <v>0.05</v>
      </c>
      <c r="E51" s="41">
        <v>-0.04</v>
      </c>
      <c r="F51" s="41">
        <v>-0.01</v>
      </c>
      <c r="G51" s="41">
        <v>0.06</v>
      </c>
      <c r="H51" s="41">
        <v>-0.02</v>
      </c>
      <c r="I51" s="41">
        <v>0.06</v>
      </c>
      <c r="J51" s="41">
        <v>0.03</v>
      </c>
      <c r="K51" s="42"/>
      <c r="L51" s="42"/>
      <c r="M51" s="42"/>
      <c r="N51" s="42"/>
    </row>
    <row r="52" spans="1:14" x14ac:dyDescent="0.25">
      <c r="A52" s="40">
        <v>51</v>
      </c>
      <c r="B52" s="41">
        <v>0.03</v>
      </c>
      <c r="C52" s="41">
        <v>0.06</v>
      </c>
      <c r="D52" s="41">
        <v>-0.02</v>
      </c>
      <c r="E52" s="41">
        <v>-0.03</v>
      </c>
      <c r="F52" s="41">
        <v>7.0000000000000007E-2</v>
      </c>
      <c r="G52" s="41">
        <v>-0.02</v>
      </c>
      <c r="H52" s="41">
        <v>-0.02</v>
      </c>
      <c r="I52" s="41">
        <v>0.05</v>
      </c>
      <c r="J52" s="41">
        <v>7.0000000000000007E-2</v>
      </c>
      <c r="K52" s="42"/>
      <c r="L52" s="42"/>
      <c r="M52" s="42"/>
      <c r="N52" s="42"/>
    </row>
    <row r="53" spans="1:14" x14ac:dyDescent="0.25">
      <c r="A53" s="40">
        <v>52</v>
      </c>
      <c r="B53" s="41">
        <v>0.06</v>
      </c>
      <c r="C53" s="41">
        <v>0.06</v>
      </c>
      <c r="D53" s="41">
        <v>-0.02</v>
      </c>
      <c r="E53" s="41">
        <v>-0.04</v>
      </c>
      <c r="F53" s="41">
        <v>-0.02</v>
      </c>
      <c r="G53" s="41">
        <v>0.05</v>
      </c>
      <c r="H53" s="41">
        <v>-0.02</v>
      </c>
      <c r="I53" s="41">
        <v>0.03</v>
      </c>
      <c r="J53" s="41">
        <v>0.05</v>
      </c>
      <c r="K53" s="42"/>
      <c r="L53" s="42"/>
      <c r="M53" s="42"/>
      <c r="N53" s="42"/>
    </row>
    <row r="54" spans="1:14" x14ac:dyDescent="0.25">
      <c r="A54" s="40">
        <v>53</v>
      </c>
      <c r="B54" s="41">
        <v>0.01</v>
      </c>
      <c r="C54" s="41">
        <v>0.04</v>
      </c>
      <c r="D54" s="41">
        <v>0.04</v>
      </c>
      <c r="E54" s="41">
        <v>0.03</v>
      </c>
      <c r="F54" s="41">
        <v>-0.02</v>
      </c>
      <c r="G54" s="41">
        <v>0.01</v>
      </c>
      <c r="H54" s="41">
        <v>0.02</v>
      </c>
      <c r="I54" s="41">
        <v>0.01</v>
      </c>
      <c r="J54" s="41">
        <v>-0.02</v>
      </c>
      <c r="K54" s="42"/>
      <c r="L54" s="42"/>
      <c r="M54" s="42"/>
      <c r="N54" s="42"/>
    </row>
    <row r="55" spans="1:14" x14ac:dyDescent="0.25">
      <c r="A55" s="40">
        <v>54</v>
      </c>
      <c r="B55" s="41">
        <v>0.04</v>
      </c>
      <c r="C55" s="41">
        <v>-0.02</v>
      </c>
      <c r="D55" s="41">
        <v>0.09</v>
      </c>
      <c r="E55" s="41">
        <v>-0.03</v>
      </c>
      <c r="F55" s="41">
        <v>0.01</v>
      </c>
      <c r="G55" s="41">
        <v>0.01</v>
      </c>
      <c r="H55" s="41">
        <v>7.0000000000000007E-2</v>
      </c>
      <c r="I55" s="41">
        <v>0.06</v>
      </c>
      <c r="J55" s="41">
        <v>7.0000000000000007E-2</v>
      </c>
      <c r="K55" s="42"/>
      <c r="L55" s="42"/>
      <c r="M55" s="42"/>
      <c r="N55" s="42"/>
    </row>
    <row r="56" spans="1:14" x14ac:dyDescent="0.25">
      <c r="A56" s="40">
        <v>55</v>
      </c>
      <c r="B56" s="41">
        <v>0.06</v>
      </c>
      <c r="C56" s="41">
        <v>-0.01</v>
      </c>
      <c r="D56" s="41">
        <v>-0.01</v>
      </c>
      <c r="E56" s="41">
        <v>0.02</v>
      </c>
      <c r="F56" s="41">
        <v>0.05</v>
      </c>
      <c r="G56" s="41">
        <v>7.0000000000000007E-2</v>
      </c>
      <c r="H56" s="41">
        <v>0.05</v>
      </c>
      <c r="I56" s="41">
        <v>0.06</v>
      </c>
      <c r="J56" s="41">
        <v>-0.01</v>
      </c>
      <c r="K56" s="42"/>
      <c r="L56" s="42"/>
      <c r="M56" s="42"/>
      <c r="N56" s="42"/>
    </row>
    <row r="57" spans="1:14" x14ac:dyDescent="0.25">
      <c r="A57" s="40">
        <v>56</v>
      </c>
      <c r="B57" s="41">
        <v>7.0000000000000007E-2</v>
      </c>
      <c r="C57" s="41">
        <v>0.09</v>
      </c>
      <c r="D57" s="41">
        <v>7.0000000000000007E-2</v>
      </c>
      <c r="E57" s="41">
        <v>0.01</v>
      </c>
      <c r="F57" s="41">
        <v>7.0000000000000007E-2</v>
      </c>
      <c r="G57" s="41">
        <v>0.05</v>
      </c>
      <c r="H57" s="41">
        <v>0.03</v>
      </c>
      <c r="I57" s="41">
        <v>0.06</v>
      </c>
      <c r="J57" s="41">
        <v>0.03</v>
      </c>
      <c r="K57" s="42"/>
      <c r="L57" s="42"/>
      <c r="M57" s="42"/>
      <c r="N57" s="42"/>
    </row>
    <row r="58" spans="1:14" x14ac:dyDescent="0.25">
      <c r="A58" s="40">
        <v>57</v>
      </c>
      <c r="B58" s="41">
        <v>0.03</v>
      </c>
      <c r="C58" s="41">
        <v>0.09</v>
      </c>
      <c r="D58" s="41">
        <v>0.02</v>
      </c>
      <c r="E58" s="41">
        <v>-0.04</v>
      </c>
      <c r="F58" s="41">
        <v>0.02</v>
      </c>
      <c r="G58" s="41">
        <v>7.0000000000000007E-2</v>
      </c>
      <c r="H58" s="41">
        <v>7.0000000000000007E-2</v>
      </c>
      <c r="I58" s="41">
        <v>-0.01</v>
      </c>
      <c r="J58" s="41">
        <v>-0.01</v>
      </c>
      <c r="K58" s="42"/>
      <c r="L58" s="42"/>
      <c r="M58" s="42"/>
      <c r="N58" s="42"/>
    </row>
    <row r="59" spans="1:14" x14ac:dyDescent="0.25">
      <c r="A59" s="40">
        <v>58</v>
      </c>
      <c r="B59" s="41">
        <v>-0.02</v>
      </c>
      <c r="C59" s="41">
        <v>0.09</v>
      </c>
      <c r="D59" s="41">
        <v>7.0000000000000007E-2</v>
      </c>
      <c r="E59" s="41">
        <v>0.05</v>
      </c>
      <c r="F59" s="41">
        <v>0.05</v>
      </c>
      <c r="G59" s="41">
        <v>0.03</v>
      </c>
      <c r="H59" s="41">
        <v>0.04</v>
      </c>
      <c r="I59" s="41">
        <v>-0.03</v>
      </c>
      <c r="J59" s="41">
        <v>0.01</v>
      </c>
      <c r="K59" s="42"/>
      <c r="L59" s="42"/>
      <c r="M59" s="42"/>
      <c r="N59" s="42"/>
    </row>
    <row r="60" spans="1:14" x14ac:dyDescent="0.25">
      <c r="A60" s="40">
        <v>59</v>
      </c>
      <c r="B60" s="41">
        <v>0.04</v>
      </c>
      <c r="C60" s="41">
        <v>0.01</v>
      </c>
      <c r="D60" s="41">
        <v>7.0000000000000007E-2</v>
      </c>
      <c r="E60" s="41">
        <v>-0.03</v>
      </c>
      <c r="F60" s="41">
        <v>0.02</v>
      </c>
      <c r="G60" s="41">
        <v>-0.03</v>
      </c>
      <c r="H60" s="41">
        <v>0.05</v>
      </c>
      <c r="I60" s="41">
        <v>0.02</v>
      </c>
      <c r="J60" s="41">
        <v>-0.02</v>
      </c>
      <c r="K60" s="42"/>
      <c r="L60" s="42"/>
      <c r="M60" s="42"/>
      <c r="N60" s="42"/>
    </row>
    <row r="61" spans="1:14" x14ac:dyDescent="0.25">
      <c r="A61" s="40">
        <v>60</v>
      </c>
      <c r="B61" s="41">
        <v>-0.02</v>
      </c>
      <c r="C61" s="41">
        <v>0.01</v>
      </c>
      <c r="D61" s="41">
        <v>0.03</v>
      </c>
      <c r="E61" s="41">
        <v>-0.05</v>
      </c>
      <c r="F61" s="41">
        <v>0.03</v>
      </c>
      <c r="G61" s="41">
        <v>0.05</v>
      </c>
      <c r="H61" s="41">
        <v>-0.02</v>
      </c>
      <c r="I61" s="41">
        <v>-0.01</v>
      </c>
      <c r="J61" s="41">
        <v>-0.02</v>
      </c>
      <c r="K61" s="42"/>
      <c r="L61" s="42"/>
      <c r="M61" s="42"/>
      <c r="N61" s="42"/>
    </row>
    <row r="62" spans="1:14" x14ac:dyDescent="0.25">
      <c r="A62" s="40">
        <v>61</v>
      </c>
      <c r="B62" s="41">
        <v>0.03</v>
      </c>
      <c r="C62" s="41">
        <v>-0.06</v>
      </c>
      <c r="D62" s="41">
        <v>0.02</v>
      </c>
      <c r="E62" s="41">
        <v>-0.02</v>
      </c>
      <c r="F62" s="41">
        <v>7.0000000000000007E-2</v>
      </c>
      <c r="G62" s="41">
        <v>-0.02</v>
      </c>
      <c r="H62" s="41">
        <v>0.04</v>
      </c>
      <c r="I62" s="41">
        <v>7.0000000000000007E-2</v>
      </c>
      <c r="J62" s="41">
        <v>-0.01</v>
      </c>
      <c r="K62" s="42"/>
      <c r="L62" s="42"/>
      <c r="M62" s="42"/>
      <c r="N62" s="42"/>
    </row>
    <row r="63" spans="1:14" x14ac:dyDescent="0.25">
      <c r="A63" s="40">
        <v>62</v>
      </c>
      <c r="B63" s="41">
        <v>0.04</v>
      </c>
      <c r="C63" s="41">
        <v>-0.05</v>
      </c>
      <c r="D63" s="41">
        <v>0.02</v>
      </c>
      <c r="E63" s="41">
        <v>-0.06</v>
      </c>
      <c r="F63" s="41">
        <v>0.06</v>
      </c>
      <c r="G63" s="41">
        <v>0.01</v>
      </c>
      <c r="H63" s="41">
        <v>0.03</v>
      </c>
      <c r="I63" s="41">
        <v>-0.02</v>
      </c>
      <c r="J63" s="41">
        <v>0.04</v>
      </c>
      <c r="K63" s="42"/>
      <c r="L63" s="42"/>
      <c r="M63" s="42"/>
      <c r="N63" s="42"/>
    </row>
    <row r="64" spans="1:14" x14ac:dyDescent="0.25">
      <c r="A64" s="40">
        <v>63</v>
      </c>
      <c r="B64" s="41">
        <v>-0.01</v>
      </c>
      <c r="C64" s="41">
        <v>-0.06</v>
      </c>
      <c r="D64" s="41">
        <v>0.05</v>
      </c>
      <c r="E64" s="41">
        <v>0.03</v>
      </c>
      <c r="F64" s="41">
        <v>0.01</v>
      </c>
      <c r="G64" s="41">
        <v>7.0000000000000007E-2</v>
      </c>
      <c r="H64" s="41">
        <v>0.02</v>
      </c>
      <c r="I64" s="41">
        <v>-0.02</v>
      </c>
      <c r="J64" s="41">
        <v>0.02</v>
      </c>
      <c r="K64" s="42"/>
      <c r="L64" s="42"/>
      <c r="M64" s="42"/>
      <c r="N64" s="42"/>
    </row>
    <row r="65" spans="1:14" x14ac:dyDescent="0.25">
      <c r="A65" s="40">
        <v>64</v>
      </c>
      <c r="B65" s="41">
        <v>0.04</v>
      </c>
      <c r="C65" s="41">
        <v>-0.03</v>
      </c>
      <c r="D65" s="41">
        <v>-0.02</v>
      </c>
      <c r="E65" s="41">
        <v>0.06</v>
      </c>
      <c r="F65" s="41">
        <v>-0.01</v>
      </c>
      <c r="G65" s="41">
        <v>0.02</v>
      </c>
      <c r="H65" s="41">
        <v>7.0000000000000007E-2</v>
      </c>
      <c r="I65" s="41">
        <v>-0.02</v>
      </c>
      <c r="J65" s="41">
        <v>0.01</v>
      </c>
      <c r="K65" s="42"/>
      <c r="L65" s="42"/>
      <c r="M65" s="42"/>
      <c r="N65" s="42"/>
    </row>
    <row r="66" spans="1:14" x14ac:dyDescent="0.25">
      <c r="A66" s="40">
        <v>65</v>
      </c>
      <c r="B66" s="41">
        <v>0.03</v>
      </c>
      <c r="C66" s="41">
        <v>0.09</v>
      </c>
      <c r="D66" s="41">
        <v>0.06</v>
      </c>
      <c r="E66" s="41">
        <v>7.0000000000000007E-2</v>
      </c>
      <c r="F66" s="41">
        <v>0.04</v>
      </c>
      <c r="G66" s="41">
        <v>0.01</v>
      </c>
      <c r="H66" s="41">
        <v>-0.02</v>
      </c>
      <c r="I66" s="41">
        <v>-0.02</v>
      </c>
      <c r="J66" s="41">
        <v>0.01</v>
      </c>
      <c r="K66" s="42"/>
      <c r="L66" s="42"/>
      <c r="M66" s="42"/>
      <c r="N66" s="42"/>
    </row>
    <row r="67" spans="1:14" x14ac:dyDescent="0.25">
      <c r="A67" s="40">
        <v>66</v>
      </c>
      <c r="B67" s="41">
        <v>7.0000000000000007E-2</v>
      </c>
      <c r="C67" s="41">
        <v>7.0000000000000007E-2</v>
      </c>
      <c r="D67" s="41">
        <v>0.01</v>
      </c>
      <c r="E67" s="41">
        <v>-0.04</v>
      </c>
      <c r="F67" s="41">
        <v>0.02</v>
      </c>
      <c r="G67" s="41">
        <v>0.01</v>
      </c>
      <c r="H67" s="41">
        <v>-0.01</v>
      </c>
      <c r="I67" s="41">
        <v>7.0000000000000007E-2</v>
      </c>
      <c r="J67" s="41">
        <v>-0.03</v>
      </c>
      <c r="K67" s="42"/>
      <c r="L67" s="42"/>
      <c r="M67" s="42"/>
      <c r="N67" s="42"/>
    </row>
    <row r="68" spans="1:14" x14ac:dyDescent="0.25">
      <c r="A68" s="40">
        <v>67</v>
      </c>
      <c r="B68" s="41">
        <v>0.01</v>
      </c>
      <c r="C68" s="41">
        <v>-7.0000000000000007E-2</v>
      </c>
      <c r="D68" s="41">
        <v>0.05</v>
      </c>
      <c r="E68" s="41">
        <v>0.05</v>
      </c>
      <c r="F68" s="41">
        <v>0.02</v>
      </c>
      <c r="G68" s="41">
        <v>0.02</v>
      </c>
      <c r="H68" s="41">
        <v>0.01</v>
      </c>
      <c r="I68" s="41">
        <v>0.05</v>
      </c>
      <c r="J68" s="41">
        <v>0.04</v>
      </c>
      <c r="K68" s="42"/>
      <c r="L68" s="42"/>
      <c r="M68" s="42"/>
      <c r="N68" s="42"/>
    </row>
    <row r="69" spans="1:14" x14ac:dyDescent="0.25">
      <c r="A69" s="40">
        <v>68</v>
      </c>
      <c r="B69" s="41">
        <v>0.01</v>
      </c>
      <c r="C69" s="41">
        <v>-0.06</v>
      </c>
      <c r="D69" s="41">
        <v>0.06</v>
      </c>
      <c r="E69" s="41">
        <v>-0.05</v>
      </c>
      <c r="F69" s="41">
        <v>0.03</v>
      </c>
      <c r="G69" s="41">
        <v>0.06</v>
      </c>
      <c r="H69" s="41">
        <v>0.01</v>
      </c>
      <c r="I69" s="41">
        <v>-0.01</v>
      </c>
      <c r="J69" s="41">
        <v>0.01</v>
      </c>
      <c r="K69" s="42"/>
      <c r="L69" s="42"/>
      <c r="M69" s="42"/>
      <c r="N69" s="42"/>
    </row>
    <row r="70" spans="1:14" x14ac:dyDescent="0.25">
      <c r="A70" s="40">
        <v>69</v>
      </c>
      <c r="B70" s="41">
        <v>0.03</v>
      </c>
      <c r="C70" s="41">
        <v>0.03</v>
      </c>
      <c r="D70" s="41">
        <v>0.03</v>
      </c>
      <c r="E70" s="41">
        <v>0.04</v>
      </c>
      <c r="F70" s="41">
        <v>0.01</v>
      </c>
      <c r="G70" s="41">
        <v>0.06</v>
      </c>
      <c r="H70" s="41">
        <v>0.03</v>
      </c>
      <c r="I70" s="41">
        <v>-0.03</v>
      </c>
      <c r="J70" s="41">
        <v>0.03</v>
      </c>
      <c r="K70" s="42"/>
      <c r="L70" s="42"/>
      <c r="M70" s="42"/>
      <c r="N70" s="42"/>
    </row>
    <row r="71" spans="1:14" x14ac:dyDescent="0.25">
      <c r="A71" s="40">
        <v>70</v>
      </c>
      <c r="B71" s="41">
        <v>0.05</v>
      </c>
      <c r="C71" s="41">
        <v>-0.03</v>
      </c>
      <c r="D71" s="41">
        <v>0.05</v>
      </c>
      <c r="E71" s="41">
        <v>-0.06</v>
      </c>
      <c r="F71" s="41">
        <v>0.06</v>
      </c>
      <c r="G71" s="41">
        <v>0.03</v>
      </c>
      <c r="H71" s="41">
        <v>0.02</v>
      </c>
      <c r="I71" s="41">
        <v>0.06</v>
      </c>
      <c r="J71" s="41">
        <v>-0.02</v>
      </c>
      <c r="K71" s="42"/>
      <c r="L71" s="42"/>
      <c r="M71" s="42"/>
      <c r="N71" s="42"/>
    </row>
    <row r="72" spans="1:14" x14ac:dyDescent="0.25">
      <c r="A72" s="40">
        <v>71</v>
      </c>
      <c r="B72" s="41">
        <v>0.05</v>
      </c>
      <c r="C72" s="41">
        <v>0.04</v>
      </c>
      <c r="D72" s="41">
        <v>0.02</v>
      </c>
      <c r="E72" s="41">
        <v>-0.02</v>
      </c>
      <c r="F72" s="41">
        <v>-0.02</v>
      </c>
      <c r="G72" s="41">
        <v>7.0000000000000007E-2</v>
      </c>
      <c r="H72" s="41">
        <v>0.02</v>
      </c>
      <c r="I72" s="41">
        <v>0.02</v>
      </c>
      <c r="J72" s="41">
        <v>0.04</v>
      </c>
      <c r="K72" s="42"/>
      <c r="L72" s="42"/>
      <c r="M72" s="42"/>
      <c r="N72" s="42"/>
    </row>
    <row r="73" spans="1:14" x14ac:dyDescent="0.25">
      <c r="A73" s="40">
        <v>72</v>
      </c>
      <c r="B73" s="41">
        <v>0.01</v>
      </c>
      <c r="C73" s="41">
        <v>7.0000000000000007E-2</v>
      </c>
      <c r="D73" s="41">
        <v>-0.01</v>
      </c>
      <c r="E73" s="41">
        <v>0.02</v>
      </c>
      <c r="F73" s="41">
        <v>0.02</v>
      </c>
      <c r="G73" s="41">
        <v>0.06</v>
      </c>
      <c r="H73" s="41">
        <v>0.02</v>
      </c>
      <c r="I73" s="41">
        <v>0.02</v>
      </c>
      <c r="J73" s="41">
        <v>0.01</v>
      </c>
      <c r="K73" s="42"/>
      <c r="L73" s="42"/>
      <c r="M73" s="42"/>
      <c r="N73" s="42"/>
    </row>
    <row r="74" spans="1:14" x14ac:dyDescent="0.25">
      <c r="A74" s="40">
        <v>73</v>
      </c>
      <c r="B74" s="41">
        <v>7.0000000000000007E-2</v>
      </c>
      <c r="C74" s="41">
        <v>7.0000000000000007E-2</v>
      </c>
      <c r="D74" s="41">
        <v>0.01</v>
      </c>
      <c r="E74" s="41">
        <v>7.0000000000000007E-2</v>
      </c>
      <c r="F74" s="41">
        <v>0.02</v>
      </c>
      <c r="G74" s="41">
        <v>-0.05</v>
      </c>
      <c r="H74" s="41">
        <v>-0.02</v>
      </c>
      <c r="I74" s="41">
        <v>-0.01</v>
      </c>
      <c r="J74" s="41">
        <v>0.03</v>
      </c>
      <c r="K74" s="42"/>
      <c r="L74" s="42"/>
      <c r="M74" s="42"/>
      <c r="N74" s="42"/>
    </row>
    <row r="75" spans="1:14" x14ac:dyDescent="0.25">
      <c r="A75" s="40">
        <v>74</v>
      </c>
      <c r="B75" s="41">
        <v>0.06</v>
      </c>
      <c r="C75" s="41">
        <v>0.06</v>
      </c>
      <c r="D75" s="41">
        <v>0.02</v>
      </c>
      <c r="E75" s="41">
        <v>0.02</v>
      </c>
      <c r="F75" s="41">
        <v>7.0000000000000007E-2</v>
      </c>
      <c r="G75" s="41">
        <v>0.04</v>
      </c>
      <c r="H75" s="41">
        <v>0.01</v>
      </c>
      <c r="I75" s="41">
        <v>0.08</v>
      </c>
      <c r="J75" s="41">
        <v>0.04</v>
      </c>
      <c r="K75" s="42"/>
      <c r="L75" s="42"/>
      <c r="M75" s="42"/>
      <c r="N75" s="42"/>
    </row>
    <row r="76" spans="1:14" x14ac:dyDescent="0.25">
      <c r="A76" s="40">
        <v>75</v>
      </c>
      <c r="B76" s="41">
        <v>7.0000000000000007E-2</v>
      </c>
      <c r="C76" s="41">
        <v>-7.0000000000000007E-2</v>
      </c>
      <c r="D76" s="41">
        <v>0.04</v>
      </c>
      <c r="E76" s="41">
        <v>-0.06</v>
      </c>
      <c r="F76" s="41">
        <v>0.01</v>
      </c>
      <c r="G76" s="41">
        <v>-0.04</v>
      </c>
      <c r="H76" s="41">
        <v>-0.01</v>
      </c>
      <c r="I76" s="41">
        <v>0.04</v>
      </c>
      <c r="J76" s="41">
        <v>0.06</v>
      </c>
      <c r="K76" s="42"/>
      <c r="L76" s="42"/>
      <c r="M76" s="42"/>
      <c r="N76" s="42"/>
    </row>
    <row r="77" spans="1:14" x14ac:dyDescent="0.25">
      <c r="A77" s="40">
        <v>76</v>
      </c>
      <c r="B77" s="41">
        <v>-0.01</v>
      </c>
      <c r="C77" s="41">
        <v>0.01</v>
      </c>
      <c r="D77" s="41">
        <v>7.0000000000000007E-2</v>
      </c>
      <c r="E77" s="41">
        <v>-0.06</v>
      </c>
      <c r="F77" s="41">
        <v>0.06</v>
      </c>
      <c r="G77" s="41">
        <v>7.0000000000000007E-2</v>
      </c>
      <c r="H77" s="41">
        <v>0.01</v>
      </c>
      <c r="I77" s="41">
        <v>-0.02</v>
      </c>
      <c r="J77" s="41">
        <v>7.0000000000000007E-2</v>
      </c>
      <c r="K77" s="42"/>
      <c r="L77" s="42"/>
      <c r="M77" s="42"/>
      <c r="N77" s="42"/>
    </row>
    <row r="78" spans="1:14" x14ac:dyDescent="0.25">
      <c r="A78" s="40">
        <v>77</v>
      </c>
      <c r="B78" s="41">
        <v>-0.02</v>
      </c>
      <c r="C78" s="41">
        <v>-0.08</v>
      </c>
      <c r="D78" s="41">
        <v>-0.02</v>
      </c>
      <c r="E78" s="41">
        <v>-0.01</v>
      </c>
      <c r="F78" s="41">
        <v>0.03</v>
      </c>
      <c r="G78" s="41">
        <v>-0.03</v>
      </c>
      <c r="H78" s="41">
        <v>0.04</v>
      </c>
      <c r="I78" s="41">
        <v>-0.03</v>
      </c>
      <c r="J78" s="41">
        <v>0.05</v>
      </c>
      <c r="K78" s="42"/>
      <c r="L78" s="42"/>
      <c r="M78" s="42"/>
      <c r="N78" s="42"/>
    </row>
    <row r="79" spans="1:14" x14ac:dyDescent="0.25">
      <c r="A79" s="40">
        <v>78</v>
      </c>
      <c r="B79" s="41">
        <v>0.06</v>
      </c>
      <c r="C79" s="41">
        <v>-0.05</v>
      </c>
      <c r="D79" s="41">
        <v>0.04</v>
      </c>
      <c r="E79" s="41">
        <v>-0.06</v>
      </c>
      <c r="F79" s="41">
        <v>0.06</v>
      </c>
      <c r="G79" s="41">
        <v>-0.01</v>
      </c>
      <c r="H79" s="41">
        <v>0.05</v>
      </c>
      <c r="I79" s="41">
        <v>0.04</v>
      </c>
      <c r="J79" s="41">
        <v>7.0000000000000007E-2</v>
      </c>
      <c r="K79" s="42"/>
      <c r="L79" s="42"/>
      <c r="M79" s="42"/>
      <c r="N79" s="42"/>
    </row>
    <row r="80" spans="1:14" x14ac:dyDescent="0.25">
      <c r="A80" s="40">
        <v>79</v>
      </c>
      <c r="B80" s="41">
        <v>0.01</v>
      </c>
      <c r="C80" s="41">
        <v>0.05</v>
      </c>
      <c r="D80" s="41">
        <v>0.02</v>
      </c>
      <c r="E80" s="41">
        <v>0.05</v>
      </c>
      <c r="F80" s="41">
        <v>0.03</v>
      </c>
      <c r="G80" s="41">
        <v>-0.04</v>
      </c>
      <c r="H80" s="41">
        <v>0.03</v>
      </c>
      <c r="I80" s="41">
        <v>-0.03</v>
      </c>
      <c r="J80" s="41">
        <v>0.03</v>
      </c>
      <c r="K80" s="42"/>
      <c r="L80" s="42"/>
      <c r="M80" s="42"/>
      <c r="N80" s="42"/>
    </row>
    <row r="81" spans="1:14" x14ac:dyDescent="0.25">
      <c r="A81" s="40">
        <v>80</v>
      </c>
      <c r="B81" s="41">
        <v>-0.02</v>
      </c>
      <c r="C81" s="41">
        <v>-0.05</v>
      </c>
      <c r="D81" s="41">
        <v>7.0000000000000007E-2</v>
      </c>
      <c r="E81" s="41">
        <v>0.06</v>
      </c>
      <c r="F81" s="41">
        <v>7.0000000000000007E-2</v>
      </c>
      <c r="G81" s="41">
        <v>0.06</v>
      </c>
      <c r="H81" s="41">
        <v>7.0000000000000007E-2</v>
      </c>
      <c r="I81" s="41">
        <v>0.05</v>
      </c>
      <c r="J81" s="41">
        <v>0.06</v>
      </c>
      <c r="K81" s="42"/>
      <c r="L81" s="42"/>
      <c r="M81" s="42"/>
      <c r="N81" s="42"/>
    </row>
    <row r="82" spans="1:14" x14ac:dyDescent="0.25">
      <c r="A82" s="40">
        <v>81</v>
      </c>
      <c r="B82" s="41">
        <v>0.03</v>
      </c>
      <c r="C82" s="41">
        <v>-0.06</v>
      </c>
      <c r="D82" s="41">
        <v>-0.01</v>
      </c>
      <c r="E82" s="41">
        <v>-0.03</v>
      </c>
      <c r="F82" s="41">
        <v>0.06</v>
      </c>
      <c r="G82" s="41">
        <v>-0.03</v>
      </c>
      <c r="H82" s="41">
        <v>0.01</v>
      </c>
      <c r="I82" s="41">
        <v>-0.03</v>
      </c>
      <c r="J82" s="41">
        <v>0.06</v>
      </c>
      <c r="K82" s="42"/>
      <c r="L82" s="42"/>
      <c r="M82" s="42"/>
      <c r="N82" s="42"/>
    </row>
    <row r="83" spans="1:14" x14ac:dyDescent="0.25">
      <c r="A83" s="40">
        <v>82</v>
      </c>
      <c r="B83" s="41">
        <v>-0.02</v>
      </c>
      <c r="C83" s="41">
        <v>0.01</v>
      </c>
      <c r="D83" s="41">
        <v>-0.02</v>
      </c>
      <c r="E83" s="41">
        <v>0.03</v>
      </c>
      <c r="F83" s="41">
        <v>0.05</v>
      </c>
      <c r="G83" s="41">
        <v>0.01</v>
      </c>
      <c r="H83" s="41">
        <v>0.04</v>
      </c>
      <c r="I83" s="41">
        <v>7.0000000000000007E-2</v>
      </c>
      <c r="J83" s="41">
        <v>0.01</v>
      </c>
      <c r="K83" s="42"/>
      <c r="L83" s="42"/>
      <c r="M83" s="42"/>
      <c r="N83" s="42"/>
    </row>
    <row r="84" spans="1:14" x14ac:dyDescent="0.25">
      <c r="A84" s="40">
        <v>83</v>
      </c>
      <c r="B84" s="41">
        <v>0.03</v>
      </c>
      <c r="C84" s="41">
        <v>0.08</v>
      </c>
      <c r="D84" s="41">
        <v>7.0000000000000007E-2</v>
      </c>
      <c r="E84" s="41">
        <v>-0.05</v>
      </c>
      <c r="F84" s="41">
        <v>0.02</v>
      </c>
      <c r="G84" s="41">
        <v>0.03</v>
      </c>
      <c r="H84" s="41">
        <v>0.06</v>
      </c>
      <c r="I84" s="41">
        <v>-0.02</v>
      </c>
      <c r="J84" s="41">
        <v>0.06</v>
      </c>
      <c r="K84" s="42"/>
      <c r="L84" s="42"/>
      <c r="M84" s="42"/>
      <c r="N84" s="42"/>
    </row>
    <row r="85" spans="1:14" x14ac:dyDescent="0.25">
      <c r="A85" s="40">
        <v>84</v>
      </c>
      <c r="B85" s="41">
        <v>0.05</v>
      </c>
      <c r="C85" s="41">
        <v>-0.01</v>
      </c>
      <c r="D85" s="41">
        <v>7.0000000000000007E-2</v>
      </c>
      <c r="E85" s="41">
        <v>7.0000000000000007E-2</v>
      </c>
      <c r="F85" s="41">
        <v>-0.02</v>
      </c>
      <c r="G85" s="41">
        <v>-0.01</v>
      </c>
      <c r="H85" s="41">
        <v>0.01</v>
      </c>
      <c r="I85" s="41">
        <v>-0.01</v>
      </c>
      <c r="J85" s="41">
        <v>0.02</v>
      </c>
      <c r="K85" s="42"/>
      <c r="L85" s="42"/>
      <c r="M85" s="42"/>
      <c r="N85" s="42"/>
    </row>
    <row r="86" spans="1:14" x14ac:dyDescent="0.25">
      <c r="A86" s="40">
        <v>85</v>
      </c>
      <c r="B86" s="41">
        <v>0.01</v>
      </c>
      <c r="C86" s="41">
        <v>0.06</v>
      </c>
      <c r="D86" s="41">
        <v>0.08</v>
      </c>
      <c r="E86" s="41">
        <v>0.05</v>
      </c>
      <c r="F86" s="41">
        <v>-0.02</v>
      </c>
      <c r="G86" s="41">
        <v>0.05</v>
      </c>
      <c r="H86" s="41">
        <v>0.05</v>
      </c>
      <c r="I86" s="41">
        <v>0.03</v>
      </c>
      <c r="J86" s="41">
        <v>-0.01</v>
      </c>
      <c r="K86" s="42"/>
      <c r="L86" s="42"/>
      <c r="M86" s="42"/>
      <c r="N86" s="42"/>
    </row>
    <row r="87" spans="1:14" x14ac:dyDescent="0.25">
      <c r="A87" s="40">
        <v>86</v>
      </c>
      <c r="B87" s="41">
        <v>0.04</v>
      </c>
      <c r="C87" s="41">
        <v>0.02</v>
      </c>
      <c r="D87" s="41">
        <v>0.05</v>
      </c>
      <c r="E87" s="41">
        <v>7.0000000000000007E-2</v>
      </c>
      <c r="F87" s="41">
        <v>-0.01</v>
      </c>
      <c r="G87" s="41">
        <v>0.05</v>
      </c>
      <c r="H87" s="41">
        <v>0.06</v>
      </c>
      <c r="I87" s="41">
        <v>0.09</v>
      </c>
      <c r="J87" s="41">
        <v>0.04</v>
      </c>
      <c r="K87" s="42"/>
      <c r="L87" s="42"/>
      <c r="M87" s="42"/>
      <c r="N87" s="42"/>
    </row>
    <row r="88" spans="1:14" x14ac:dyDescent="0.25">
      <c r="A88" s="40">
        <v>87</v>
      </c>
      <c r="B88" s="41">
        <v>-0.02</v>
      </c>
      <c r="C88" s="41">
        <v>-0.02</v>
      </c>
      <c r="D88" s="41">
        <v>0.03</v>
      </c>
      <c r="E88" s="41">
        <v>0.04</v>
      </c>
      <c r="F88" s="41">
        <v>0.06</v>
      </c>
      <c r="G88" s="41">
        <v>-0.02</v>
      </c>
      <c r="H88" s="41">
        <v>0.02</v>
      </c>
      <c r="I88" s="41">
        <v>0.01</v>
      </c>
      <c r="J88" s="41">
        <v>0.05</v>
      </c>
      <c r="K88" s="42"/>
      <c r="L88" s="42"/>
      <c r="M88" s="42"/>
      <c r="N88" s="42"/>
    </row>
    <row r="89" spans="1:14" x14ac:dyDescent="0.25">
      <c r="A89" s="40">
        <v>88</v>
      </c>
      <c r="B89" s="41">
        <v>0.03</v>
      </c>
      <c r="C89" s="41">
        <v>0.04</v>
      </c>
      <c r="D89" s="41">
        <v>7.0000000000000007E-2</v>
      </c>
      <c r="E89" s="41">
        <v>-0.03</v>
      </c>
      <c r="F89" s="41">
        <v>0.06</v>
      </c>
      <c r="G89" s="41">
        <v>-0.05</v>
      </c>
      <c r="H89" s="41">
        <v>0.06</v>
      </c>
      <c r="I89" s="41">
        <v>0.04</v>
      </c>
      <c r="J89" s="41">
        <v>-0.03</v>
      </c>
      <c r="K89" s="42"/>
      <c r="L89" s="42"/>
      <c r="M89" s="42"/>
      <c r="N89" s="42"/>
    </row>
    <row r="90" spans="1:14" x14ac:dyDescent="0.25">
      <c r="A90" s="40">
        <v>89</v>
      </c>
      <c r="B90" s="41">
        <v>0.05</v>
      </c>
      <c r="C90" s="41">
        <v>0.03</v>
      </c>
      <c r="D90" s="41">
        <v>0.05</v>
      </c>
      <c r="E90" s="41">
        <v>0.04</v>
      </c>
      <c r="F90" s="41">
        <v>-0.02</v>
      </c>
      <c r="G90" s="41">
        <v>0.02</v>
      </c>
      <c r="H90" s="41">
        <v>0.01</v>
      </c>
      <c r="I90" s="41">
        <v>0.06</v>
      </c>
      <c r="J90" s="41">
        <v>0.06</v>
      </c>
      <c r="K90" s="42"/>
      <c r="L90" s="42"/>
      <c r="M90" s="42"/>
      <c r="N90" s="42"/>
    </row>
    <row r="91" spans="1:14" x14ac:dyDescent="0.25">
      <c r="A91" s="40">
        <v>90</v>
      </c>
      <c r="B91" s="41">
        <v>-0.01</v>
      </c>
      <c r="C91" s="41">
        <v>-0.03</v>
      </c>
      <c r="D91" s="41">
        <v>0.09</v>
      </c>
      <c r="E91" s="41">
        <v>-0.04</v>
      </c>
      <c r="F91" s="41">
        <v>0.03</v>
      </c>
      <c r="G91" s="41">
        <v>-0.05</v>
      </c>
      <c r="H91" s="41">
        <v>0.06</v>
      </c>
      <c r="I91" s="41">
        <v>-0.01</v>
      </c>
      <c r="J91" s="41">
        <v>0.04</v>
      </c>
      <c r="K91" s="42"/>
      <c r="L91" s="42"/>
      <c r="M91" s="42"/>
      <c r="N91" s="42"/>
    </row>
    <row r="92" spans="1:14" x14ac:dyDescent="0.25">
      <c r="A92" s="40">
        <v>91</v>
      </c>
      <c r="B92" s="41">
        <v>0.04</v>
      </c>
      <c r="C92" s="41">
        <v>-0.02</v>
      </c>
      <c r="D92" s="41">
        <v>0.01</v>
      </c>
      <c r="E92" s="41">
        <v>-0.06</v>
      </c>
      <c r="F92" s="41">
        <v>0.01</v>
      </c>
      <c r="G92" s="41">
        <v>0.04</v>
      </c>
      <c r="H92" s="41">
        <v>-0.02</v>
      </c>
      <c r="I92" s="41">
        <v>0.01</v>
      </c>
      <c r="J92" s="41">
        <v>0.04</v>
      </c>
      <c r="K92" s="42"/>
      <c r="L92" s="42"/>
      <c r="M92" s="42"/>
      <c r="N92" s="42"/>
    </row>
    <row r="93" spans="1:14" x14ac:dyDescent="0.25">
      <c r="A93" s="40">
        <v>92</v>
      </c>
      <c r="B93" s="41">
        <v>7.0000000000000007E-2</v>
      </c>
      <c r="C93" s="41">
        <v>-0.02</v>
      </c>
      <c r="D93" s="41">
        <v>0.01</v>
      </c>
      <c r="E93" s="41">
        <v>0.06</v>
      </c>
      <c r="F93" s="41">
        <v>-0.02</v>
      </c>
      <c r="G93" s="41">
        <v>0.03</v>
      </c>
      <c r="H93" s="41">
        <v>0.05</v>
      </c>
      <c r="I93" s="41">
        <v>-0.02</v>
      </c>
      <c r="J93" s="41">
        <v>-0.01</v>
      </c>
      <c r="K93" s="42"/>
      <c r="L93" s="42"/>
      <c r="M93" s="42"/>
      <c r="N93" s="42"/>
    </row>
    <row r="94" spans="1:14" x14ac:dyDescent="0.25">
      <c r="A94" s="40">
        <v>93</v>
      </c>
      <c r="B94" s="41">
        <v>0.06</v>
      </c>
      <c r="C94" s="41">
        <v>0.04</v>
      </c>
      <c r="D94" s="41">
        <v>7.0000000000000007E-2</v>
      </c>
      <c r="E94" s="41">
        <v>0.06</v>
      </c>
      <c r="F94" s="41">
        <v>0.02</v>
      </c>
      <c r="G94" s="41">
        <v>-0.03</v>
      </c>
      <c r="H94" s="41">
        <v>-0.01</v>
      </c>
      <c r="I94" s="41">
        <v>0.03</v>
      </c>
      <c r="J94" s="41">
        <v>0.06</v>
      </c>
      <c r="K94" s="42"/>
      <c r="L94" s="42"/>
      <c r="M94" s="42"/>
      <c r="N94" s="42"/>
    </row>
    <row r="95" spans="1:14" x14ac:dyDescent="0.25">
      <c r="A95" s="40">
        <v>94</v>
      </c>
      <c r="B95" s="41">
        <v>0.04</v>
      </c>
      <c r="C95" s="41">
        <v>0.09</v>
      </c>
      <c r="D95" s="41">
        <v>0.06</v>
      </c>
      <c r="E95" s="41">
        <v>0.04</v>
      </c>
      <c r="F95" s="41">
        <v>-0.02</v>
      </c>
      <c r="G95" s="41">
        <v>0.02</v>
      </c>
      <c r="H95" s="41">
        <v>0.06</v>
      </c>
      <c r="I95" s="41">
        <v>0.01</v>
      </c>
      <c r="J95" s="41">
        <v>0.05</v>
      </c>
      <c r="K95" s="42"/>
      <c r="L95" s="42"/>
      <c r="M95" s="42"/>
      <c r="N95" s="42"/>
    </row>
    <row r="96" spans="1:14" x14ac:dyDescent="0.25">
      <c r="A96" s="40">
        <v>95</v>
      </c>
      <c r="B96" s="41">
        <v>0.04</v>
      </c>
      <c r="C96" s="41">
        <v>0.01</v>
      </c>
      <c r="D96" s="41">
        <v>0.02</v>
      </c>
      <c r="E96" s="41">
        <v>0.05</v>
      </c>
      <c r="F96" s="41">
        <v>-0.02</v>
      </c>
      <c r="G96" s="41">
        <v>-0.06</v>
      </c>
      <c r="H96" s="41">
        <v>0.02</v>
      </c>
      <c r="I96" s="41">
        <v>-0.01</v>
      </c>
      <c r="J96" s="41">
        <v>0.02</v>
      </c>
      <c r="K96" s="42"/>
      <c r="L96" s="42"/>
      <c r="M96" s="42"/>
      <c r="N96" s="42"/>
    </row>
    <row r="97" spans="1:14" x14ac:dyDescent="0.25">
      <c r="A97" s="40">
        <v>96</v>
      </c>
      <c r="B97" s="41">
        <v>0.02</v>
      </c>
      <c r="C97" s="41">
        <v>-0.08</v>
      </c>
      <c r="D97" s="41">
        <v>0.03</v>
      </c>
      <c r="E97" s="41">
        <v>0.02</v>
      </c>
      <c r="F97" s="41">
        <v>7.0000000000000007E-2</v>
      </c>
      <c r="G97" s="41">
        <v>0.02</v>
      </c>
      <c r="H97" s="41">
        <v>0.04</v>
      </c>
      <c r="I97" s="41">
        <v>-0.06</v>
      </c>
      <c r="J97" s="41">
        <v>0.03</v>
      </c>
      <c r="K97" s="42"/>
      <c r="L97" s="42"/>
      <c r="M97" s="42"/>
      <c r="N97" s="42"/>
    </row>
    <row r="98" spans="1:14" x14ac:dyDescent="0.25">
      <c r="A98" s="40">
        <v>97</v>
      </c>
      <c r="B98" s="41">
        <v>-0.02</v>
      </c>
      <c r="C98" s="41">
        <v>-7.0000000000000007E-2</v>
      </c>
      <c r="D98" s="41">
        <v>0.05</v>
      </c>
      <c r="E98" s="41">
        <v>0.05</v>
      </c>
      <c r="F98" s="41">
        <v>0.04</v>
      </c>
      <c r="G98" s="41">
        <v>0.04</v>
      </c>
      <c r="H98" s="41">
        <v>0.02</v>
      </c>
      <c r="I98" s="41">
        <v>0.02</v>
      </c>
      <c r="J98" s="41">
        <v>0.02</v>
      </c>
      <c r="K98" s="42"/>
      <c r="L98" s="42"/>
      <c r="M98" s="42"/>
      <c r="N98" s="42"/>
    </row>
    <row r="99" spans="1:14" x14ac:dyDescent="0.25">
      <c r="A99" s="40">
        <v>98</v>
      </c>
      <c r="B99" s="41">
        <v>7.0000000000000007E-2</v>
      </c>
      <c r="C99" s="41">
        <v>-0.06</v>
      </c>
      <c r="D99" s="41">
        <v>0.06</v>
      </c>
      <c r="E99" s="41">
        <v>0.01</v>
      </c>
      <c r="F99" s="41">
        <v>-0.01</v>
      </c>
      <c r="G99" s="41">
        <v>0.01</v>
      </c>
      <c r="H99" s="41">
        <v>0.05</v>
      </c>
      <c r="I99" s="41">
        <v>0.04</v>
      </c>
      <c r="J99" s="41">
        <v>-0.02</v>
      </c>
      <c r="K99" s="42"/>
      <c r="L99" s="42"/>
      <c r="M99" s="42"/>
      <c r="N99" s="42"/>
    </row>
    <row r="100" spans="1:14" x14ac:dyDescent="0.25">
      <c r="A100" s="40">
        <v>99</v>
      </c>
      <c r="B100" s="41">
        <v>0.01</v>
      </c>
      <c r="C100" s="41">
        <v>-0.02</v>
      </c>
      <c r="D100" s="41">
        <v>-0.02</v>
      </c>
      <c r="E100" s="41">
        <v>0.04</v>
      </c>
      <c r="F100" s="41">
        <v>7.0000000000000007E-2</v>
      </c>
      <c r="G100" s="41">
        <v>-0.01</v>
      </c>
      <c r="H100" s="41">
        <v>7.0000000000000007E-2</v>
      </c>
      <c r="I100" s="41">
        <v>0.04</v>
      </c>
      <c r="J100" s="41">
        <v>7.0000000000000007E-2</v>
      </c>
      <c r="K100" s="42"/>
      <c r="L100" s="42"/>
      <c r="M100" s="42"/>
      <c r="N100" s="42"/>
    </row>
    <row r="101" spans="1:14" x14ac:dyDescent="0.25">
      <c r="A101" s="40">
        <v>100</v>
      </c>
      <c r="B101" s="41">
        <v>-0.01</v>
      </c>
      <c r="C101" s="41">
        <v>-0.01</v>
      </c>
      <c r="D101" s="41">
        <v>0.02</v>
      </c>
      <c r="E101" s="41">
        <v>0.02</v>
      </c>
      <c r="F101" s="41">
        <v>-0.02</v>
      </c>
      <c r="G101" s="41">
        <v>0.02</v>
      </c>
      <c r="H101" s="41">
        <v>0.02</v>
      </c>
      <c r="I101" s="41">
        <v>-0.03</v>
      </c>
      <c r="J101" s="41">
        <v>0.06</v>
      </c>
      <c r="K101" s="42"/>
      <c r="L101" s="42"/>
      <c r="M101" s="42"/>
      <c r="N101" s="42"/>
    </row>
    <row r="102" spans="1:14" x14ac:dyDescent="0.25">
      <c r="K102" s="38"/>
      <c r="L102" s="38"/>
      <c r="M102" s="38"/>
      <c r="N102" s="38"/>
    </row>
  </sheetData>
  <conditionalFormatting sqref="A2:J101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D10"/>
  <sheetViews>
    <sheetView workbookViewId="0">
      <selection activeCell="D11" sqref="D11"/>
    </sheetView>
  </sheetViews>
  <sheetFormatPr defaultRowHeight="15.75" x14ac:dyDescent="0.25"/>
  <cols>
    <col min="2" max="2" width="27" bestFit="1" customWidth="1"/>
    <col min="4" max="4" width="24.5" bestFit="1" customWidth="1"/>
  </cols>
  <sheetData>
    <row r="4" spans="2:4" x14ac:dyDescent="0.25">
      <c r="C4" s="21" t="s">
        <v>18</v>
      </c>
      <c r="D4" s="21" t="s">
        <v>19</v>
      </c>
    </row>
    <row r="5" spans="2:4" x14ac:dyDescent="0.25">
      <c r="B5" s="30" t="s">
        <v>4</v>
      </c>
      <c r="C5" s="23" t="s">
        <v>16</v>
      </c>
      <c r="D5" s="24">
        <v>-2.5000000000000001E-3</v>
      </c>
    </row>
    <row r="6" spans="2:4" x14ac:dyDescent="0.25">
      <c r="B6" s="30" t="s">
        <v>4</v>
      </c>
      <c r="C6" s="23" t="s">
        <v>17</v>
      </c>
      <c r="D6" s="28">
        <v>6.2500000000000003E-3</v>
      </c>
    </row>
    <row r="7" spans="2:4" x14ac:dyDescent="0.25">
      <c r="B7" s="30" t="s">
        <v>7</v>
      </c>
      <c r="C7" s="23" t="s">
        <v>16</v>
      </c>
      <c r="D7" s="25">
        <v>0.01</v>
      </c>
    </row>
    <row r="8" spans="2:4" x14ac:dyDescent="0.25">
      <c r="B8" s="30" t="s">
        <v>24</v>
      </c>
      <c r="C8" s="23" t="s">
        <v>16</v>
      </c>
      <c r="D8" s="24">
        <v>1.4999999999999999E-2</v>
      </c>
    </row>
    <row r="9" spans="2:4" x14ac:dyDescent="0.25">
      <c r="B9" s="30" t="s">
        <v>9</v>
      </c>
      <c r="C9" s="23" t="s">
        <v>16</v>
      </c>
      <c r="D9" s="25">
        <v>0.02</v>
      </c>
    </row>
    <row r="10" spans="2:4" x14ac:dyDescent="0.25">
      <c r="B10" s="30" t="s">
        <v>7</v>
      </c>
      <c r="C10" s="29" t="s">
        <v>17</v>
      </c>
      <c r="D10" s="24">
        <v>-7.0000000000000001E-3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Assumptions</vt:lpstr>
      <vt:lpstr>Income Statement Projection</vt:lpstr>
      <vt:lpstr>Forecasting_Data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acer</cp:lastModifiedBy>
  <dcterms:created xsi:type="dcterms:W3CDTF">2021-09-19T01:10:25Z</dcterms:created>
  <dcterms:modified xsi:type="dcterms:W3CDTF">2026-06-20T06:42:28Z</dcterms:modified>
</cp:coreProperties>
</file>